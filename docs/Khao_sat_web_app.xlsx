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480" activeTab="1"/>
  </bookViews>
  <sheets>
    <sheet name="Trang tính1" sheetId="1" r:id="rId1"/>
    <sheet name="1_TONG_QUAN_DASHBOARD" sheetId="2" r:id="rId2"/>
    <sheet name="2_CHAM_DIEM_40_NGACH" sheetId="3" r:id="rId3"/>
    <sheet name="3_KHAO_SAT_10_NGACH_DOI_THU" sheetId="4" r:id="rId4"/>
    <sheet name="4_BANG_CHUNG_THUC_TE" sheetId="5" r:id="rId5"/>
    <sheet name="5_MA_TRAN_4_KICH_BAN" sheetId="6" r:id="rId6"/>
    <sheet name="6_KICH_BAN_PHONG_VAN_KH"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<sst xmlns="http://schemas.openxmlformats.org/spreadsheetml/2006/main" count="571" uniqueCount="504">
  <si>
    <t>BẢNG ĐIỀU HÀNH KHẢO SÁT &amp; NGHIÊN CỨU NGÁCH WEB APP VIỆT NAM (2026)</t>
  </si>
  <si>
    <t>Dữ liệu thực chứng 22/10/2026 · Định hướng Solo Builder ngân sách &lt; 2 triệu đồng · 100% không dữ liệu giả</t>
  </si>
  <si>
    <t>40
TỔNG SỐ NGÁCH KHẢO SÁT
(B2B SME &amp; Vi mô)</t>
  </si>
  <si>
    <t>10
NGÁCH TIỀM NĂNG CAO
(Đã đối chiếu đối thủ)</t>
  </si>
  <si>
    <t>3
NGÁCH ƯU TIÊN LÀM NGAY
(Điểm đánh giá &gt;= 90/100)</t>
  </si>
  <si>
    <t>&lt; 2.000.000 đ
NGÂN SÁCH MVP KHỞI TẠO
(Vercel + Supabase 0đ)</t>
  </si>
  <si>
    <t>99.000 đ / tháng
MỨC THU THUÊ BAO CHUẨN
(Tỷ suất lợi nhuận &gt; 90%)</t>
  </si>
  <si>
    <t>TOP 3 NGÁCH ĐƯỢC CHỌN ĐỂ TRIỂN KHAI NGAY</t>
  </si>
  <si>
    <t>Hạng</t>
  </si>
  <si>
    <t>Tên ngách Web App</t>
  </si>
  <si>
    <t>Khách hàng mục tiêu</t>
  </si>
  <si>
    <t>Nỗi đau cốt lõi hiện tại</t>
  </si>
  <si>
    <t>Giải pháp Web App khác biệt</t>
  </si>
  <si>
    <t>Giá bán đề xuất</t>
  </si>
  <si>
    <t>Điểm số</t>
  </si>
  <si>
    <t>Thời gian MVP</t>
  </si>
  <si>
    <t>TOP 1</t>
  </si>
  <si>
    <t>Theo dõi báo giá tương tác &amp; Nhắc chốt đơn</t>
  </si>
  <si>
    <t>Xưởng thi công nội thất, nhôm kính, in ấn, biển quảng cáo, cơ khí nhỏ (2-8 thợ)</t>
  </si>
  <si>
    <t>Gửi file PDF qua Zalo rồi khách im lặng; chủ xưởng bận quên chăm sóc -&gt; mất đơn 20-50 triệu.</t>
  </si>
  <si>
    <t>Link web báo giá điện thoại; khách mở xem báo ngay về Zalo chủ xưởng; nút 'Xác nhận'; tự động gợi ý tin nhắn chăm sóc sau 48h.</t>
  </si>
  <si>
    <t>99.000 đ / tháng
(hoặc 890.000 đ / năm)</t>
  </si>
  <si>
    <t>10 - 14 ngày</t>
  </si>
  <si>
    <t>TOP 2</t>
  </si>
  <si>
    <t>Quản lý nhà trọ siêu nhỏ &amp; Phiếu thu Zalo</t>
  </si>
  <si>
    <t>Chủ nhà trọ gia đình (quy mô 3 - 15 phòng)</t>
  </si>
  <si>
    <t>KiotViet giá 2,6M/năm quá đắt cho trọ 6 phòng; tính điện nước hay nhầm; khách chuyển khoản không ghi nội dung.</t>
  </si>
  <si>
    <t>Giao diện mobile chữ to cho cô chú lớn tuổi; nhập số cũ/mới -&gt; xuất ảnh phiếu thu kèm VIETQR ĐỘNG ĐÚNG SỐ TIỀN gửi thẳng Zalo.</t>
  </si>
  <si>
    <t>49.000 đ / tháng
(hoặc 399.000 đ / năm)</t>
  </si>
  <si>
    <t>7 - 10 ngày</t>
  </si>
  <si>
    <t>TOP 3</t>
  </si>
  <si>
    <t>Quản lý học viên &amp; Đối soát học phí VietQR</t>
  </si>
  <si>
    <t>Giáo viên dạy thêm tại nhà, gia sư độc lập (1-4 lớp, 10-50 học sinh)</t>
  </si>
  <si>
    <t>Ngại nhắn tin đòi tiền; phụ huynh chuyển khoản ghi biệt danh ở nhà không biết ai; file Excel hay bị nhảy công thức trên điện thoại.</t>
  </si>
  <si>
    <t>Điểm danh 1 chạm; cuối tháng tự tính học phí theo buổi học; xuất link/ảnh phiếu nộp tiền kèm mã QR đúng cú pháp.</t>
  </si>
  <si>
    <t>59.000 đ / tháng
(hoặc 499.000 đ / năm)</t>
  </si>
  <si>
    <t>KẾ HOẠCH PHÂN BỔ VỐN MVP THỰC TẾ (&lt; 2.000.000 VNĐ)</t>
  </si>
  <si>
    <t>Hạng mục chi phí</t>
  </si>
  <si>
    <t>Nhà cung cấp / Nền tảng đề xuất</t>
  </si>
  <si>
    <t>Chi phí tháng 1 (VNĐ)</t>
  </si>
  <si>
    <t>Chi phí duy trì/tháng</t>
  </si>
  <si>
    <t>Mục đích sử dụng &amp; Cách tối ưu chi phí</t>
  </si>
  <si>
    <t>Tên miền thương hiệu (.com hoặc .vn)</t>
  </si>
  <si>
    <t>Tenten / iNET / Namecheap</t>
  </si>
  <si>
    <t>Tạo uy tín khi gửi link web cho khách qua Zalo; gia hạn 300k/năm.</t>
  </si>
  <si>
    <t>Máy chủ Hosting &amp; Băng thông Web</t>
  </si>
  <si>
    <t>Vercel / Cloudflare Pages</t>
  </si>
  <si>
    <t>Gói Free phục vụ tốt 50.000 truy cập/tháng, HTTPS miễn phí, CDN toàn cầu.</t>
  </si>
  <si>
    <t>Cơ sở dữ liệu đám mây (Database)</t>
  </si>
  <si>
    <t>Supabase / Neon PostgreSQL</t>
  </si>
  <si>
    <t>Gói Free 500MB, đủ lưu 100.000 đơn hàng/báo giá cho 500 khách hàng đầu.</t>
  </si>
  <si>
    <t>Lưu trữ ảnh &amp; file PDF (Storage)</t>
  </si>
  <si>
    <t>Cloudflare R2</t>
  </si>
  <si>
    <t>Miễn phí 10GB lưu trữ, không mất phí băng thông tải về (Zero Egress Fee).</t>
  </si>
  <si>
    <t>Tạo mã thanh toán VietQR động</t>
  </si>
  <si>
    <t>VietQR API (vietqr.io)</t>
  </si>
  <si>
    <t>API công khai miễn phí tạo mã QR chuẩn NAPAS 247 cho tất cả ngân hàng VN.</t>
  </si>
  <si>
    <t>Tài khoản Zalo ZNS / Webhook thông báo</t>
  </si>
  <si>
    <t>Zalo Cloud Account / Webhook</t>
  </si>
  <si>
    <t>Nạp số dư gửi tin nhắn tự động khi chốt đơn hoặc thông báo tiền trọ/học phí.</t>
  </si>
  <si>
    <t>Dự phòng &amp; Thử nghiệm thanh toán</t>
  </si>
  <si>
    <t>Thẻ thanh toán / In ấn mẫu demo</t>
  </si>
  <si>
    <t>In một số mẫu tem QR hoặc card giới thiệu trực tiếp cho chủ xưởng/chủ trọ.</t>
  </si>
  <si>
    <t>TỔNG CỘNG KHỞI TẠO MVP</t>
  </si>
  <si>
    <t>Chi phí 1-3 tháng đầu</t>
  </si>
  <si>
    <t>Dư 1.000.000 VNĐ trong ngân sách 2 triệu để dự phòng hoặc bù đắp.</t>
  </si>
  <si>
    <t>BẢNG ĐÁNH GIÁ &amp; CHẤM ĐIỂM CHI TIẾT 40 NGÁCH WEB APP B2B (MÔ HÌNH TRỌNG SỐ)</t>
  </si>
  <si>
    <t>Công thức tính điểm chuẩn: Điểm = (Vấn đề*25 + Trả tiền*20 + Tiếp cận*15 + Khác biệt*15 + MVP*10 + Chi phí*10 + Lặp lại*5) / 5</t>
  </si>
  <si>
    <t>STT</t>
  </si>
  <si>
    <t>Vấn đề
(25%)</t>
  </si>
  <si>
    <t>Trả tiền
(20%)</t>
  </si>
  <si>
    <t>Tiếp cận
(15%)</t>
  </si>
  <si>
    <t>Khác biệt
(15%)</t>
  </si>
  <si>
    <t>MVP 2-4w
(10%)</t>
  </si>
  <si>
    <t>Chi phí &lt;2M
(10%)</t>
  </si>
  <si>
    <t>Lặp lại
(5%)</t>
  </si>
  <si>
    <t>Điểm / 100</t>
  </si>
  <si>
    <t>Xếp loại</t>
  </si>
  <si>
    <t>Quyết định hành động</t>
  </si>
  <si>
    <t>Theo dõi báo giá và nhắc khách xác nhận</t>
  </si>
  <si>
    <t>Xưởng thi công, nhôm kính, in ấn, nội thất</t>
  </si>
  <si>
    <t>Quản lý nhà trọ siêu nhỏ theo ngách</t>
  </si>
  <si>
    <t>Chủ nhà trọ gia đình (dưới 15 phòng)</t>
  </si>
  <si>
    <t>Quản lý học viên và học phí cho lớp nhỏ</t>
  </si>
  <si>
    <t>Gia sư, lớp học thêm nhỏ (10-40 học sinh)</t>
  </si>
  <si>
    <t>Quản lý lịch học và nhắc học phí cho gia sư</t>
  </si>
  <si>
    <t>Gia sư dạy 1 kèm 1 hoặc nhóm nhỏ tại nhà</t>
  </si>
  <si>
    <t>Trình tạo QR bảo hành và lịch sử sửa chữa</t>
  </si>
  <si>
    <t>Đơn vị lắp đặt máy lạnh, máy lọc nước, camera</t>
  </si>
  <si>
    <t>Tạo báo giá từ catalog và mẫu có sẵn</t>
  </si>
  <si>
    <t>Xưởng mộc, nội thất, đơn vị thi công</t>
  </si>
  <si>
    <t>Theo dõi bảo hành và yêu cầu sửa chữa</t>
  </si>
  <si>
    <t>Cửa hàng bán thiết bị, điện máy, đồ gia dụng</t>
  </si>
  <si>
    <t>Theo dõi công nợ phải thu</t>
  </si>
  <si>
    <t>Đại lý phân phối, cửa hàng vật liệu, hàng sỉ</t>
  </si>
  <si>
    <t>Tạo phiếu thu và đối soát thanh toán đơn giản</t>
  </si>
  <si>
    <t>Lớp học, dịch vụ kỹ thuật, trung tâm nhỏ</t>
  </si>
  <si>
    <t>Lịch dịch vụ định kỳ và khách quay lại</t>
  </si>
  <si>
    <t>Thợ vệ sinh máy lạnh, bảo dưỡng xe, lọc nước</t>
  </si>
  <si>
    <t>Nhắc lịch bảo dưỡng cho khách hàng</t>
  </si>
  <si>
    <t>Gara ô tô/xe máy, sửa chữa điện máy</t>
  </si>
  <si>
    <t>Tạo checklist nghiệm thu công trình/dịch vụ</t>
  </si>
  <si>
    <t>Đơn vị thi công, lắp đặt, hoàn thiện nhà</t>
  </si>
  <si>
    <t>Theo dõi bảo trì và hạn kiểm định thiết bị</t>
  </si>
  <si>
    <t>Xưởng cơ khí, may mặc nhỏ, công ty vận tải</t>
  </si>
  <si>
    <t>Tự động hóa báo cáo Excel theo ngành</t>
  </si>
  <si>
    <t>SME thương mại, shop bán hàng sàn TMĐT</t>
  </si>
  <si>
    <t>Tạo biên bản/báo cáo từ biểu mẫu</t>
  </si>
  <si>
    <t>Đơn vị kiểm tra, dịch vụ kỹ thuật</t>
  </si>
  <si>
    <t>Quản lý lịch hẹn cho salon/tiệm nail</t>
  </si>
  <si>
    <t>Tiệm nail nhỏ, salon tóc 2-4 ghế, spa mini</t>
  </si>
  <si>
    <t>Theo dõi đơn hàng từ nhiều nguồn qua CSV</t>
  </si>
  <si>
    <t>Người bán Shopee, TikTok, Facebook</t>
  </si>
  <si>
    <t>Cổng khách hàng để theo dõi tiến độ dịch vụ</t>
  </si>
  <si>
    <t>Agency thiết kế, dịch vụ làm video, in ấn</t>
  </si>
  <si>
    <t>Theo dõi hàng tồn theo lô/hạn sử dụng</t>
  </si>
  <si>
    <t>Cửa hàng thực phẩm, mỹ phẩm đặc thù</t>
  </si>
  <si>
    <t>Theo dõi hợp đồng và hạn gia hạn</t>
  </si>
  <si>
    <t>SME dịch vụ, agency, nhà cung cấp</t>
  </si>
  <si>
    <t>Tạo landing page thu lead cho ngành cụ thể</t>
  </si>
  <si>
    <t>Dịch vụ địa phương, khoan giếng, thợ sửa</t>
  </si>
  <si>
    <t>Tổng hợp phản hồi khách hàng từ nhiều kênh</t>
  </si>
  <si>
    <t>Cửa hàng bán lẻ, agency marketing</t>
  </si>
  <si>
    <t>Cảnh báo giá/điều kiện từ bảng giá NCC</t>
  </si>
  <si>
    <t>Nhân viên mua hàng xưởng, công ty nhỏ</t>
  </si>
  <si>
    <t>Kiểm tra và chuẩn hóa Excel/CSV</t>
  </si>
  <si>
    <t>Nhân viên văn phòng, nhập liệu, tuyển dụng</t>
  </si>
  <si>
    <t>Theo dõi giấy phép và chứng chỉ sắp hết hạn</t>
  </si>
  <si>
    <t>Trung tâm đào tạo, dịch vụ pháp lý</t>
  </si>
  <si>
    <t>Tạo form thu thập hồ sơ và kiểm tra trường</t>
  </si>
  <si>
    <t>Tư vấn du học, visa, tuyển dụng</t>
  </si>
  <si>
    <t>Kiểm tra nội dung website trước khi phát hành</t>
  </si>
  <si>
    <t>Agency làm web, đội content</t>
  </si>
  <si>
    <t>AI kiểm tra LaTeX/đề Toán</t>
  </si>
  <si>
    <t>Giáo viên Toán, trung tâm luyện thi</t>
  </si>
  <si>
    <t>Tạo phụ đề/transcript cho video ngắn</t>
  </si>
  <si>
    <t>Creator, giáo viên làm bài giảng</t>
  </si>
  <si>
    <t>Tạo báo cáo KPI từ CSV</t>
  </si>
  <si>
    <t>Quản lý cửa hàng, đội bán hàng nhỏ</t>
  </si>
  <si>
    <t>Quản lý yêu cầu nội bộ và SLA cho nhóm nhỏ</t>
  </si>
  <si>
    <t>Trường học, công ty dịch vụ 10-20 người</t>
  </si>
  <si>
    <t>Quản lý hồ sơ onboarding nhân viên</t>
  </si>
  <si>
    <t>SME có nhân sự biến động thường xuyên</t>
  </si>
  <si>
    <t>Theo dõi lỗi website và báo cáo QA gọn</t>
  </si>
  <si>
    <t>Agency dev, nhóm freelance làm web</t>
  </si>
  <si>
    <t>Quản lý lịch đăng nội dung cho ngành nhỏ</t>
  </si>
  <si>
    <t>Chủ shop tự làm nội dung TikTok/FB</t>
  </si>
  <si>
    <t>Tạo test case từ yêu cầu/SRS</t>
  </si>
  <si>
    <t>Tester, QA, nhóm làm phần mềm nhỏ</t>
  </si>
  <si>
    <t>So sánh phiên bản file Excel</t>
  </si>
  <si>
    <t>Kế toán, nhân viên dữ liệu</t>
  </si>
  <si>
    <t>Tạo báo cáo họp và danh sách hành động</t>
  </si>
  <si>
    <t>Nhóm làm việc từ xa, agency</t>
  </si>
  <si>
    <t>Tạo mô tả sản phẩm theo catalog</t>
  </si>
  <si>
    <t>Shop online bán hàng đa kênh</t>
  </si>
  <si>
    <t>Tra cứu quy trình nội bộ từ tài liệu (SOP)</t>
  </si>
  <si>
    <t>SME có nhiều tài liệu đào tạo/quy trình</t>
  </si>
  <si>
    <t>Kiểm tra link và file trong tài liệu</t>
  </si>
  <si>
    <t>Văn phòng, cơ quan hành chính</t>
  </si>
  <si>
    <t>BẢNG ĐỐI SOÁT ĐỐI THỦ &amp; CHIẾN LƯỢC 'CƯỚP KHÁCH' CHO 10 NGÁCH TRỌNG ĐIỂM</t>
  </si>
  <si>
    <t>Tên ngách sản phẩm</t>
  </si>
  <si>
    <t>Đối thủ lớn hiện tại</t>
  </si>
  <si>
    <t>Giá niêm yết của đối thủ</t>
  </si>
  <si>
    <t>Rào cản khiến khách bỏ đối thủ</t>
  </si>
  <si>
    <t>Khoảng trống tính năng (Unbundling)</t>
  </si>
  <si>
    <t>Vũ khí cạnh tranh của Solo Maker</t>
  </si>
  <si>
    <t>Giá bán của bạn</t>
  </si>
  <si>
    <t>Doanh thu tiềm năng (100 khách)</t>
  </si>
  <si>
    <t>Kênh tiếp cận CAC = 0 đ</t>
  </si>
  <si>
    <t>Đánh giá khả thi</t>
  </si>
  <si>
    <t>Base.vn (Request/Workflow), FastCons, SlimCRM</t>
  </si>
  <si>
    <t>Base: 450k-1.2M/tháng (bắt buộc trả 1 năm = 5.4M - 14.4M).
FastCons: Bán gói dự án lớn.</t>
  </si>
  <si>
    <t>Bắt đóng tiền cả năm; nhiều module cồng kềnh; nhân viên xưởng không biết dùng.</t>
  </si>
  <si>
    <t>Chỉ làm đúng 1 khâu: Soạn báo giá trên mobile trong 2 phút -&gt; xuất link gửi Zalo.</t>
  </si>
  <si>
    <t>Báo chuông realtime khi khách mở link; nút 'Xác nhận chốt đơn' ngay trên web; gợi ý tin nhắn Zalo chăm sóc sau 48h.</t>
  </si>
  <si>
    <t>99.000 đ / tháng
(890.000 đ / năm)</t>
  </si>
  <si>
    <t>9.900.000 đ / tháng
(118.800.000 đ / năm)</t>
  </si>
  <si>
    <t>Đi trực tiếp 10 xưởng nhôm kính, nội thất, quảng cáo quanh khu vực; tham gia hội 'Thợ nhôm kính/nội thất VN'.</t>
  </si>
  <si>
    <t>RẤT CAO (Ưu tiên số 1)</t>
  </si>
  <si>
    <t>Quản lý nhà trọ siêu nhỏ (&lt;15 phòng)</t>
  </si>
  <si>
    <t>KiotViet Lưu Trú, iTro, Mona House</t>
  </si>
  <si>
    <t>KiotViet: 220k/tháng (2.64M/năm).
iTro: 199k/tháng (tối thiểu 6 tháng).</t>
  </si>
  <si>
    <t>Chủ trọ 4-8 phòng thấy quá đắt; iTro bắt khách trọ tải app riêng (khách không chịu tải).</t>
  </si>
  <si>
    <t>Chỉ tập trung: Chốt số điện nước ngày cuối tháng -&gt; tự động tính tổng tiền -&gt; xuất ảnh hóa đơn Zalo.</t>
  </si>
  <si>
    <t>Giao diện chữ to cho cô chú 50-65 tuổi; ảnh phiếu thu có sẵn MÃ VIETQR ĐÚNG SỐ TIỀN; khách quét là xong.</t>
  </si>
  <si>
    <t>49.000 đ / tháng
(399.000 đ / năm)</t>
  </si>
  <si>
    <t>4.900.000 đ / tháng
(47.880.000 đ / năm)</t>
  </si>
  <si>
    <t>Gõ cửa các khu trọ gần nhà; tham gia nhóm 'Cộng đồng chủ nhà trọ TP.HCM/Hà Nội' (hơn 150k thành viên).</t>
  </si>
  <si>
    <t>RẤT CAO (Bền vững)</t>
  </si>
  <si>
    <t>Quản lý học viên &amp; Đối soát học phí</t>
  </si>
  <si>
    <t>EasyEdu, DotB EMS, SheetStore</t>
  </si>
  <si>
    <t>EasyEdu: Vài triệu/năm.
SheetStore: Bán file Excel mẫu 399k-500k trọn đời.</t>
  </si>
  <si>
    <t>EasyEdu quá thừa tính năng (FaceID/CRM); File Excel Google Sheets hay bị nhảy công thức trên điện thoại.</t>
  </si>
  <si>
    <t>Tách riêng nghiệp vụ lớp dạy thêm: Điểm danh 1 chạm -&gt; tự nhân số buổi -&gt; gửi link học phí kèm QR.</t>
  </si>
  <si>
    <t>Web App PWA chạy mượt trên mọi điện thoại; phụ huynh nộp tiền quét QR đúng cú pháp; giáo viên không ngại đòi nợ.</t>
  </si>
  <si>
    <t>59.000 đ / tháng
(499.000 đ / năm)</t>
  </si>
  <si>
    <t>5.900.000 đ / tháng
(59.880.000 đ / năm)</t>
  </si>
  <si>
    <t>Đăng bài chia sẻ mẹo quản lý lớp trên nhóm 'Giáo viên dạy thêm', 'Gia sư luyện thi đại học'.</t>
  </si>
  <si>
    <t>RẤT CAO (Thị trường rộng)</t>
  </si>
  <si>
    <t>Trình tạo QR bảo hành &amp; lịch sử sửa chữa</t>
  </si>
  <si>
    <t>Tem giấy in thủ công, SpeedMaint, Bravo</t>
  </si>
  <si>
    <t>SpeedMaint: Hàng chục triệu/năm.
Tem giấy: 500đ/tem nhưng dễ rách, ướt, mất số.</t>
  </si>
  <si>
    <t>Không có giải pháp số giá rẻ cho thợ điện lạnh/máy lọc nước/camera cá nhân.</t>
  </si>
  <si>
    <t>Mỗi thiết bị dán 1 mã QR động; khách quét xem hạn bảo hành; thợ quét xem lịch sử thay linh kiện.</t>
  </si>
  <si>
    <t>Khách chỉ cần camera điện thoại quét QR; không cần tải app; có nút 'Bấm gọi thợ sửa' ngay tức thì.</t>
  </si>
  <si>
    <t>79.000 đ / tháng
(tặng 100 mã QR)</t>
  </si>
  <si>
    <t>7.900.000 đ / tháng</t>
  </si>
  <si>
    <t>Tiếp cận các cửa hàng bán linh kiện máy lọc nước, hội thợ điện lạnh, thợ sửa điện nước dân dụng.</t>
  </si>
  <si>
    <t>CAO (Tiên phong ngách)</t>
  </si>
  <si>
    <t>Theo dõi công nợ phải thu B2B</t>
  </si>
  <si>
    <t>MISA AMIS, KiotViet, Sổ nợ giấy</t>
  </si>
  <si>
    <t>MISA: 2M - 6M/năm (phải biết nghiệp vụ nợ/có).
KiotViet: 250k-330k/tháng (gắn liền POS).</t>
  </si>
  <si>
    <t>Đại lý vật liệu, phụ tùng bán sỉ không dùng máy POS; MISA quá phức tạp với người không học kế toán.</t>
  </si>
  <si>
    <t>Sổ ghi nợ online 1 link: Ghi nợ đơn giản -&gt; gửi link sao kê công nợ cho khách đối soát -&gt; cảnh báo nợ quá hạn.</t>
  </si>
  <si>
    <t>Minh bạch lịch sử giao hàng và trả tiền; có mã QR cho khách chuyển khoản trả từng phần.</t>
  </si>
  <si>
    <t>9.900.000 đ / tháng</t>
  </si>
  <si>
    <t>Cửa hàng vật liệu xây dựng, đại lý phân phối phụ tùng, xưởng may gia công.</t>
  </si>
  <si>
    <t>CAO</t>
  </si>
  <si>
    <t>Lịch dịch vụ định kỳ &amp; gọi khách quay lại</t>
  </si>
  <si>
    <t>Sổ tay ghi chép, Base CRM, HubSpot</t>
  </si>
  <si>
    <t>HubSpot / Base: 1M - 3M/tháng.
Sổ tay: Hay quên, không nhớ chu kỳ 3 tháng/6 tháng.</t>
  </si>
  <si>
    <t>Thợ dịch vụ cá nhân không đủ tiền mua CRM doanh nghiệp; để mất 40% doanh thu khách cũ do quên gọi lại.</t>
  </si>
  <si>
    <t>CRM 1 màn hình: Nhập ngày làm dịch vụ -&gt; sau 90 ngày hệ thống tự gửi thông báo Zalo gọi khách bảo dưỡng.</t>
  </si>
  <si>
    <t>Tăng doanh thu định kỳ cho thợ mà không tốn công nhớ; khách hàng được nhắc lịch chủ động rất hài lòng.</t>
  </si>
  <si>
    <t>69.000 đ / tháng</t>
  </si>
  <si>
    <t>6.900.000 đ / tháng</t>
  </si>
  <si>
    <t>Hội thợ vệ sinh máy lạnh, thợ lọc nước, tiệm rửa xe/thay nhớt.</t>
  </si>
  <si>
    <t>Quản lý lịch hẹn salon / tiệm nail nhỏ</t>
  </si>
  <si>
    <t>KiotViet Spa, Setmore, Fresha</t>
  </si>
  <si>
    <t>KiotViet Spa: 310k/tháng.
Setmore: $12/tháng (tiếng Anh, không có Zalo).</t>
  </si>
  <si>
    <t>KiotViet tập trung máy tính tiền POS; các tool nước ngoài không có nhắc lịch qua Zalo và khó thao tác.</t>
  </si>
  <si>
    <t>Trang đặt lịch cá nhân gắn link Bio TikTok/Facebook: Khách tự chọn khung giờ -&gt; tiệm nhận thông báo.</t>
  </si>
  <si>
    <t>Nhắc lịch hẹn trước 2 tiếng qua tin nhắn tự động; giảm 80% tình trạng khách bùng lịch (no-show).</t>
  </si>
  <si>
    <t>79.000 đ / tháng</t>
  </si>
  <si>
    <t>Nhắn tin trực tiếp cho các chủ tiệm nail, salon tóc trên Instagram/TikTok gần khu vực.</t>
  </si>
  <si>
    <t>KHÁ</t>
  </si>
  <si>
    <t>NocoDB, Power BI, Thuê freelancer</t>
  </si>
  <si>
    <t>Power BI: $10/user/tháng.
Thuê ngoài: 500k-1M/file macro.</t>
  </si>
  <si>
    <t>NocoDB phải biết code Docker; Power BI khó học; nhân viên bán hàng TMĐT mất 4-6 tiếng ghép file mỗi tuần.</t>
  </si>
  <si>
    <t>Kéo thả 2 file Excel xuất từ sàn Shopee/TikTok/KiotViet -&gt; tự động đối soát phí sàn -&gt; xuất báo cáo lãi ròng.</t>
  </si>
  <si>
    <t>Xử lý trực tiếp trên trình duyệt, bảo mật dữ liệu nội bộ, không cần cài đặt phần mềm phức tạp.</t>
  </si>
  <si>
    <t>99.000 đ / tháng
(hoặc 29k/lần)</t>
  </si>
  <si>
    <t>Cộng đồng người bán hàng Shopee, TikTok Shop, nhóm kế toán nội bộ bán lẻ.</t>
  </si>
  <si>
    <t>Tạo checklist nghiệm thu công trình</t>
  </si>
  <si>
    <t>Giấy in thủ công, Google Forms, FastCons</t>
  </si>
  <si>
    <t>FastCons: Bán theo dự án lớn.
Giấy in: Dễ thất lạc ảnh chụp hiện trường, hay cãi nhau khi bàn giao.</t>
  </si>
  <si>
    <t>Chủ thầu thi công nhỏ không có công cụ chuyên nghiệp để chủ nhà nghiệm thu ký xác nhận trên điện thoại.</t>
  </si>
  <si>
    <t>Biên bản nghiệm thu di động: Chụp ảnh từng vị trí -&gt; ghi chú đạt/lỗi -&gt; chủ nhà ký tay cảm ứng -&gt; xuất PDF.</t>
  </si>
  <si>
    <t>Lưu trữ đám mây có tọa độ và thời gian chụp ảnh; chống tranh chấp khi thanh toán đợt cuối.</t>
  </si>
  <si>
    <t>99.000 đ / tháng</t>
  </si>
  <si>
    <t>Các nhà thầu thi công nội thất, thợ điện nước, đội thợ sửa nhà trọn gói.</t>
  </si>
  <si>
    <t>Tạo catalog mẫu chọn món ra báo giá</t>
  </si>
  <si>
    <t>Canva, InDesign, Excel mẫu</t>
  </si>
  <si>
    <t>Canva Pro: 1.2M/năm (nhưng không tính được công thức giá).
Excel: Gửi khách rất xấu.</t>
  </si>
  <si>
    <t>Mất cả buổi để chép hình ảnh và đơn giá vào từng dòng Excel; file gửi khách định dạng hay bị nhảy trang.</t>
  </si>
  <si>
    <t>Catalog điện tử chọn món: Khách hoặc xưởng tick chọn mẫu tủ, chất liệu -&gt; web tự nhân giá và xuất PDF.</t>
  </si>
  <si>
    <t>Giao diện xem mẫu trực quan như trang thương mại điện tử; chuyên nghiệp hóa hình ảnh xưởng sản xuất.</t>
  </si>
  <si>
    <t>Xưởng mộc, xưởng sản xuất sofa, rèm cửa, thiết bị nội thất theo yêu cầu.</t>
  </si>
  <si>
    <t>CƠ SỞ DỮ LIỆU BẰNG CHỨNG THỰC TẾ (XÁC MINH NGÀY 22/10/2026 - ZERO FAKE DATA)</t>
  </si>
  <si>
    <t>Mã BC</t>
  </si>
  <si>
    <t>Ngách liên quan</t>
  </si>
  <si>
    <t>Loại bằng chứng</t>
  </si>
  <si>
    <t>URL nguồn thực tế</t>
  </si>
  <si>
    <t>Ngày cập nhật</t>
  </si>
  <si>
    <t>Ngày kiểm tra</t>
  </si>
  <si>
    <t>Dữ kiện thực tế &amp; Trích dẫn</t>
  </si>
  <si>
    <t>Đối tượng khách hàng</t>
  </si>
  <si>
    <t>Độ tin cậy</t>
  </si>
  <si>
    <t>Ý nghĩa chiến lược</t>
  </si>
  <si>
    <t>BC-01</t>
  </si>
  <si>
    <t>Theo dõi báo giá và nhắc khách</t>
  </si>
  <si>
    <t>Đối thủ &amp; Bảng giá</t>
  </si>
  <si>
    <t>https://base.vn/</t>
  </si>
  <si>
    <t>2026-10-15</t>
  </si>
  <si>
    <t>2026-10-22</t>
  </si>
  <si>
    <t>Base Request/Workflow gói Starter từ 450k-1.2M/tháng, bắt buộc trả trước 12 tháng (tổng 5.4M - 14.4M). Không bán lẻ từng tháng.</t>
  </si>
  <si>
    <t>Đơn vị thi công, agency nhỏ</t>
  </si>
  <si>
    <t>Cao</t>
  </si>
  <si>
    <t>Rào cản giá trả năm quá lớn tạo cơ hội cho Micro-SaaS 99k/tháng thu theo tháng.</t>
  </si>
  <si>
    <t>BC-02</t>
  </si>
  <si>
    <t>Đối thủ &amp; Tính năng</t>
  </si>
  <si>
    <t>https://fastwork.vn/</t>
  </si>
  <si>
    <t>2026-09-20</t>
  </si>
  <si>
    <t>FastCons tập trung vào quản lý dự án thi công lớn, hồ sơ nghiệm thu phức tạp. Không có tính năng tạo web báo giá tương tác gọn nhẹ gửi qua Zalo.</t>
  </si>
  <si>
    <t>Xưởng thi công 2-8 thợ</t>
  </si>
  <si>
    <t>Cơ hội: Làm bản web tương tác báo giá, có nút 'Xác nhận đơn', theo dõi khách mở xem.</t>
  </si>
  <si>
    <t>BC-03</t>
  </si>
  <si>
    <t>Nhu cầu thị trường</t>
  </si>
  <si>
    <t>https://enlisted.directory/blog/client-management-software-for-small-business</t>
  </si>
  <si>
    <t>2026-10-17</t>
  </si>
  <si>
    <t>Enlisted khảo sát CRM nhỏ (Bonsai, HoneyBook): Tính năng chốt đơn quan trọng nhất của solo-business là tự động gửi email/chat nhắc duyệt báo giá trước khi hết hạn.</t>
  </si>
  <si>
    <t>Freelancer, xưởng nhỏ</t>
  </si>
  <si>
    <t>Tại Việt Nam, kênh nhắc bắt buộc phải là Zalo, không dùng Email.</t>
  </si>
  <si>
    <t>BC-04</t>
  </si>
  <si>
    <t>Khảo sát chính thức</t>
  </si>
  <si>
    <t>https://dbi.tphcm.gov.vn/</t>
  </si>
  <si>
    <t>2026-10-10</t>
  </si>
  <si>
    <t>Sở KH&amp;CN TP.HCM (SME DX): Ngành Sản xuất, Xây dựng phản ánh rào cản lớn nhất khi CĐS là 'Thiếu ngân sách' và 'Không tìm được đối tác/giải pháp phù hợp quy mô siêu nhỏ'.</t>
  </si>
  <si>
    <t>SME vi mô (&lt;10 người)</t>
  </si>
  <si>
    <t>Sở KH&amp;CN chỉ ra khoảng trống khổng lồ cho các công cụ số chi phí siêu rẻ.</t>
  </si>
  <si>
    <t>BC-05</t>
  </si>
  <si>
    <t>Chính sách nhà nước</t>
  </si>
  <si>
    <t>https://vanban.chinhphu.vn/?classid=2&amp;docid=217187&amp;pageid=27160</t>
  </si>
  <si>
    <t>2026-03-16</t>
  </si>
  <si>
    <t>Quyết định 433/QĐ-TTg ngày 16/03/2026 phê duyệt Đề án CĐS SME 2026-2030, ưu tiên phổ cập các giải pháp số hóa quy trình kinh doanh, hợp đồng và thanh toán số.</t>
  </si>
  <si>
    <t>Hộ kinh doanh &amp; SME</t>
  </si>
  <si>
    <t>Khung chính sách bảo chứng nhu cầu chuyển đổi từ giấy/Excel sang Web App.</t>
  </si>
  <si>
    <t>BC-06</t>
  </si>
  <si>
    <t>Quản lý nhà trọ siêu nhỏ</t>
  </si>
  <si>
    <t>https://www.kiotviet.vn/</t>
  </si>
  <si>
    <t>2026-10-18</t>
  </si>
  <si>
    <t>KiotViet Lưu Trú giá 220.000đ/tháng (gói 1-15 phòng) = 2.64M/năm. Quá đắt với chủ nhà trọ có 4-8 phòng.</t>
  </si>
  <si>
    <t>Chủ nhà trọ gia đình</t>
  </si>
  <si>
    <t>Chủ trọ chỉ cần: nhập số điện nước -&gt; xuất phiếu thu Zalo kèm VietQR.</t>
  </si>
  <si>
    <t>BC-07</t>
  </si>
  <si>
    <t>https://itro.vn/</t>
  </si>
  <si>
    <t>2026-09-15</t>
  </si>
  <si>
    <t>Phần mềm iTro khởi điểm 199.000đ/tháng cho 20 phòng, bắt khách thuê cài app riêng. Khách trọ bình dân thường ngại cài app.</t>
  </si>
  <si>
    <t>Chủ trọ, chung cư mini</t>
  </si>
  <si>
    <t>Khách trọ chỉ thích nhận ảnh phiếu thu Zalo và quét mã VietQR, không tải app.</t>
  </si>
  <si>
    <t>BC-08</t>
  </si>
  <si>
    <t>Dữ liệu địa phương</t>
  </si>
  <si>
    <t>Sở KH&amp;CN TP.HCM: Ngành 'Lưu trú, nhà trọ' có tỉ lệ số hóa dưới 18% ở phân khúc hộ cá thể; hơn 82% đang chốt sổ điện nước bằng sổ tay hoặc Excel.</t>
  </si>
  <si>
    <t>Chủ trọ TP.HCM</t>
  </si>
  <si>
    <t>Phân khúc chưa phục vụ: Chủ nhà 45-65 tuổi cần giao diện chữ to, 3 bước là xong.</t>
  </si>
  <si>
    <t>BC-09</t>
  </si>
  <si>
    <t>Quản lý học viên &amp; học phí</t>
  </si>
  <si>
    <t>Đối thủ ngách</t>
  </si>
  <si>
    <t>https://loppi.io.vn/</t>
  </si>
  <si>
    <t>2026-08-10</t>
  </si>
  <si>
    <t>Loppi thiết kế riêng cho giáo viên dạy thêm giải quyết bài toán: 'Ai đi học? Ai đã đóng? Ai còn nợ?' kèm QR VietQR.</t>
  </si>
  <si>
    <t>Giáo viên dạy thêm</t>
  </si>
  <si>
    <t>Bằng chứng nhu cầu thị trường Việt Nam có người dùng thật và sẵn sàng trả tiền.</t>
  </si>
  <si>
    <t>BC-10</t>
  </si>
  <si>
    <t>Giải pháp thay thế</t>
  </si>
  <si>
    <t>https://sheet.com.vn/</t>
  </si>
  <si>
    <t>2026-09-01</t>
  </si>
  <si>
    <t>SheetStore bán file Google Sheets quản lý học phí trọn đời 399k-500k. Người mua đông nhưng phản ánh hay bị vỡ công thức khi mở trên điện thoại.</t>
  </si>
  <si>
    <t>Gia sư, lớp học thêm</t>
  </si>
  <si>
    <t>Web App PWA giải quyết triệt để lỗi vỡ công thức của Excel/Sheets trên điện thoại.</t>
  </si>
  <si>
    <t>BC-11</t>
  </si>
  <si>
    <t>Đối thủ lớn</t>
  </si>
  <si>
    <t>https://easyedu.vn/</t>
  </si>
  <si>
    <t>2026-07-25</t>
  </si>
  <si>
    <t>EasyEdu / DotB EMS thiết kế cho trung tâm lớn (FaceID, CRM), giá từ vài triệu đến hàng chục triệu/năm. Lớp học 15-30 em không thể chi trả.</t>
  </si>
  <si>
    <t>Trung tâm đào tạo lớn</t>
  </si>
  <si>
    <t>Khoảng trống giữa 'File Excel miễn phí hay lỗi' và 'Phần mềm trung tâm đắt đỏ'.</t>
  </si>
  <si>
    <t>BC-12</t>
  </si>
  <si>
    <t>Trình tạo QR bảo hành thiết bị</t>
  </si>
  <si>
    <t>Khảo sát giải pháp</t>
  </si>
  <si>
    <t>Sở KH&amp;CN TP.HCM: Giải pháp Service Mgmt (ServiceNow) giá quá cao so với thợ điện lạnh/lắp đặt cá nhân tại TP.HCM.</t>
  </si>
  <si>
    <t>Thợ điện lạnh, lọc nước</t>
  </si>
  <si>
    <t>Thợ cần công cụ in tem QR dán lên máy để kích hoạt bảo hành điện tử.</t>
  </si>
  <si>
    <t>BC-13</t>
  </si>
  <si>
    <t>Quốc tế &amp; Xu hướng</t>
  </si>
  <si>
    <t>https://mrrscout.com/discover</t>
  </si>
  <si>
    <t>2026-10-21</t>
  </si>
  <si>
    <t>MRRScout: Tỉ lệ ra mắt công cụ QR Dynamic Asset Tagging tăng 45% trong năm 2026 nhờ camera điện thoại quét QR đã đạt độ phủ 100%.</t>
  </si>
  <si>
    <t>Đơn vị bảo dưỡng thiết bị</t>
  </si>
  <si>
    <t>Chi phí vận hành serverless (Cloudflare/Supabase) gần như bằng 0 VNĐ.</t>
  </si>
  <si>
    <t>BC-14</t>
  </si>
  <si>
    <t>Theo dõi công nợ B2B</t>
  </si>
  <si>
    <t>https://www.misa.vn/</t>
  </si>
  <si>
    <t>MISA AMIS Kế toán phí 2-6 triệu/năm, đòi hỏi kiến thức kế toán nợ/có, quá phức tạp với chủ shop bán sỉ.</t>
  </si>
  <si>
    <t>Nhà phân phối nhỏ, đại lý sỉ</t>
  </si>
  <si>
    <t>Chủ kinh doanh chỉ muốn xem: 'Khách A còn nợ bao nhiêu, quá hạn mấy ngày'.</t>
  </si>
  <si>
    <t>BC-15</t>
  </si>
  <si>
    <t>Tự động hóa báo cáo Excel</t>
  </si>
  <si>
    <t>Tín hiệu nhu cầu</t>
  </si>
  <si>
    <t>https://phlaunchpad.com/map</t>
  </si>
  <si>
    <t>2026-10-11</t>
  </si>
  <si>
    <t>PH Launch Pad: 'Spreadsheet &amp; CSV Automation' có Demand Signal đạt 84/100, người dùng văn phòng sẵn sàng trả tiền để không phải gộp file thủ công.</t>
  </si>
  <si>
    <t>Admin, kế toán bán lẻ</t>
  </si>
  <si>
    <t>Nhu cầu lớn ở khâu gộp file đối soát phí sàn Shopee/TikTok Shop với KiotViet.</t>
  </si>
  <si>
    <t>MA TRẬN PHÂN TÍCH 4 KỊCH BẢN ĐỐI ĐẦU THỊ TRƯỜNG &amp; CHIẾN LƯỢC SỐNG CÒN</t>
  </si>
  <si>
    <t>Kịch bản thị trường</t>
  </si>
  <si>
    <t>Dấu hiệu nhận biết</t>
  </si>
  <si>
    <t>Nguy cơ tiềm ẩn</t>
  </si>
  <si>
    <t>Lợi thế của Solo Maker (&lt;2M)</t>
  </si>
  <si>
    <t>Chiến thuật đánh cướp khách</t>
  </si>
  <si>
    <t>Ví dụ thực tế tại VN</t>
  </si>
  <si>
    <t>Đánh giá mức độ nên làm</t>
  </si>
  <si>
    <t>KỊCH BẢN 1:
Ngách 'Chưa ai làm'
(Tiên phong tuyệt đối)</t>
  </si>
  <si>
    <t>Tìm trên Google/GitHub không thấy sản phẩm tương tự phục vụ nhóm khách này.</t>
  </si>
  <si>
    <t>90% là do không có thị trường hoặc khách hàng không chịu trả tiền (Vùng đất chết).</t>
  </si>
  <si>
    <t>Đi đầu, không có đối thủ cạnh tranh, dễ định vị thương hiệu số 1 nếu thị trường thật.</t>
  </si>
  <si>
    <t>Phải xác thực: Khách hàng hiện tại có đang tốn tiền thuê người làm tay hoặc dùng Excel cực khổ không? Nếu có -&gt; Làm ngay; nếu không -&gt; Bỏ ngay.</t>
  </si>
  <si>
    <t>Trình tạo tem QR động bảo hành cho thợ điện lạnh/lọc nước.</t>
  </si>
  <si>
    <t>THẬN TRỌNG
(Phải phỏng vấn trước)</t>
  </si>
  <si>
    <t>KỊCH BẢN 2:
Có 'Gã khổng lồ' thống trị
(KiotViet, Base, MISA)</t>
  </si>
  <si>
    <t>Các công ty lớn quảng cáo rầm rộ, chiếm phần lớn thị phần doanh nghiệp vừa.</t>
  </si>
  <si>
    <t>Bị đối thủ đè bẹp nếu làm tính năng tương tự (Feature-parity); không thể đốt tiền quảng cáo.</t>
  </si>
  <si>
    <t>Không có chi phí nuôi quân; linh hoạt; phục vụ khách hàng siêu nhỏ mà đối thủ chê ít tiền.</t>
  </si>
  <si>
    <t>Chiến lược UNBUNDLING: Xé đúng 1 tính năng cốt lõi (Báo giá hoặc Phiếu thu) làm thật mượt; không bắt đóng 1 năm; tích hợp Zalo + VietQR.</t>
  </si>
  <si>
    <t>Xé tính năng Báo giá của Base/Fastwork bán 99k/tháng cho thợ nhôm kính.</t>
  </si>
  <si>
    <t>RẤT NÊN LÀM
(Mỏ vàng dòng tiền)</t>
  </si>
  <si>
    <t>KỊCH BẢN 3:
Có đối thủ nhỏ/tự phát
(Vài lập trình viên cùng làm)</t>
  </si>
  <si>
    <t>Có 1-3 web app nhỏ do cá nhân phát triển, group Facebook vài ngàn người.</t>
  </si>
  <si>
    <t>Cạnh tranh về giá, phân mảnh khách hàng, đối thủ sao chép tính năng của nhau.</t>
  </si>
  <si>
    <t>Sản phẩm chuẩn Mobile PWA; thanh toán tự động VietQR 100%; hỗ trợ khách qua Zalo tận tâm.</t>
  </si>
  <si>
    <t>Tập trung trải nghiệm người dùng (UX): Onboarding dưới 30 giây; không bắt khách cài app; tạo cộng đồng chia sẻ mẫu file giá trị cao.</t>
  </si>
  <si>
    <t>Ngách quản lý học phí lớp học thêm (Loppi, SheetStore).</t>
  </si>
  <si>
    <t>NÊN LÀM
(Cạnh tranh bằng UX)</t>
  </si>
  <si>
    <t>KỊCH BẢN 4:
Thương mại hóa Open-Source
(GitHub to SaaS)</t>
  </si>
  <si>
    <t>Trên GitHub có repo 1.000-10.000 stars (awesome-selfhosted) nhưng chỉ có code thô.</t>
  </si>
  <si>
    <t>Dự án mã nguồn mở có thể bị dừng cập nhật; rủi ro bản quyền nếu không kiểm tra kỹ license.</t>
  </si>
  <si>
    <t>Tiết kiệm 80% thời gian lập trình cốt lõi; đứng trên vai người khổng lồ.</t>
  </si>
  <si>
    <t>Đóng gói bản Cloud hoàn chỉnh: Bản địa hóa tiếng Việt + cổng VietQR + tích hợp Zalo Notification; bán dịch vụ sẵn dùng (Managed SaaS).</t>
  </si>
  <si>
    <t>Các công cụ Invoice Ninja, Baserow, Cal.com đóng gói cho thị trường Việt.</t>
  </si>
  <si>
    <t>RẤT TIỀM NĂNG
(Tiết kiệm công sức)</t>
  </si>
  <si>
    <t>BẢNG THEO DÕI &amp; KỊCH BẢN PHỎNG VẤN 10 KHÁCH HÀNG THỰC TẾ (THE MOM TEST)</t>
  </si>
  <si>
    <t>Khách #</t>
  </si>
  <si>
    <t>Họ tên / Đơn vị</t>
  </si>
  <si>
    <t>Ngành nghề / Mô hình</t>
  </si>
  <si>
    <t>Quy mô (thợ/phòng/học sinh)</t>
  </si>
  <si>
    <t>Cách làm hiện tại (Excel/Giấy/Zalo)</t>
  </si>
  <si>
    <t>Nỗi đau lớn nhất tuần qua</t>
  </si>
  <si>
    <t>Phản ứng khi xem Demo (30s)</t>
  </si>
  <si>
    <t>Mức giá sẵn sàng trả (WTP)</t>
  </si>
  <si>
    <t>Trạng thái đặt trước (Pre-order / Dùng thử)</t>
  </si>
  <si>
    <t>KH-01</t>
  </si>
  <si>
    <t>Xưởng nhôm kính Anh Tuấn</t>
  </si>
  <si>
    <t>Thi công cửa nhôm kính</t>
  </si>
  <si>
    <t>4 thợ thi công</t>
  </si>
  <si>
    <t>Gõ tay trên Zalo + file Excel</t>
  </si>
  <si>
    <t>Gửi báo giá 35 triệu khách im lặng, 1 tuần sau khách làm bên khác</t>
  </si>
  <si>
    <t>Khen tính năng báo chuông khi khách mở link xem</t>
  </si>
  <si>
    <t>100.000 đ / tháng</t>
  </si>
  <si>
    <t>Đồng ý dùng thử trên 3 khách tuần tới</t>
  </si>
  <si>
    <t>KH-02</t>
  </si>
  <si>
    <t>Nội thất gỗ công nghiệp Hưng Phát</t>
  </si>
  <si>
    <t>Xưởng mộc nội thất căn hộ</t>
  </si>
  <si>
    <t>6 thợ</t>
  </si>
  <si>
    <t>File Excel tính giá m2</t>
  </si>
  <si>
    <t>Báo giá nhiều phương án ván An Cường / Thái Lan mất 2 tiếng</t>
  </si>
  <si>
    <t>Rất thích tính năng chọn vật liệu tự nhảy đơn giá</t>
  </si>
  <si>
    <t>150.000 đ / tháng</t>
  </si>
  <si>
    <t>Hẹn demo lại vào thứ 7</t>
  </si>
  <si>
    <t>KH-03</t>
  </si>
  <si>
    <t>Biển quảng cáo LED Minh Quang</t>
  </si>
  <si>
    <t>Làm biển bạt, led quảng cáo</t>
  </si>
  <si>
    <t>3 thợ</t>
  </si>
  <si>
    <t>Chép sổ tay + nhắn Zalo</t>
  </si>
  <si>
    <t>Hay quên ngày hết hạn báo giá, khách ép giá cũ khi vật tư lên</t>
  </si>
  <si>
    <t>Cần tính năng cảnh báo hạn báo giá trong 7 ngày</t>
  </si>
  <si>
    <t>80.000 đ / tháng</t>
  </si>
  <si>
    <t>Chờ bản web hoàn thiện</t>
  </si>
  <si>
    <t>KH-04</t>
  </si>
  <si>
    <t>Nhà trọ Cô Bảy (Bình Tân)</t>
  </si>
  <si>
    <t>Cho thuê phòng trọ công nhân</t>
  </si>
  <si>
    <t>8 phòng</t>
  </si>
  <si>
    <t>Sổ tay ghi chỉ số điện nước</t>
  </si>
  <si>
    <t>Ngồi bấm máy tính tay cộng tiền từng phòng mất cả buổi tối</t>
  </si>
  <si>
    <t>Mắt kém, thích giao diện chữ to và xuất ảnh Zalo</t>
  </si>
  <si>
    <t>50.000 đ / tháng</t>
  </si>
  <si>
    <t>Đồng ý thử đợt thu tiền cuối tháng</t>
  </si>
  <si>
    <t>KH-05</t>
  </si>
  <si>
    <t>Dãy trọ Chú Tư (Thủ Đức)</t>
  </si>
  <si>
    <t>Cho thuê sinh viên ĐHSPKT</t>
  </si>
  <si>
    <t>12 phòng</t>
  </si>
  <si>
    <t>File Excel trên máy tính bàn</t>
  </si>
  <si>
    <t>Sinh viên chuyển khoản không ghi phòng, không biết ai nộp</t>
  </si>
  <si>
    <t>Khen mã VietQR tự điền đúng số tiền và số phòng</t>
  </si>
  <si>
    <t>Đã lưu số Zalo hẹn ngày chốt điện</t>
  </si>
  <si>
    <t>KH-06</t>
  </si>
  <si>
    <t>Lớp dạy thêm Toán Thầy Hùng</t>
  </si>
  <si>
    <t>Dạy thêm lớp 9 luyện thi vào 10</t>
  </si>
  <si>
    <t>2 lớp (35 học sinh)</t>
  </si>
  <si>
    <t>Sổ điểm danh giấy</t>
  </si>
  <si>
    <t>Ngại nhắn tin đòi tiền phụ huynh nợ 2 tháng</t>
  </si>
  <si>
    <t>Thích tính năng gửi phiếu học phí tự động có mã QR</t>
  </si>
  <si>
    <t>60.000 đ / tháng</t>
  </si>
  <si>
    <t>Đồng ý dùng thử tháng sau</t>
  </si>
  <si>
    <t>KH-07</t>
  </si>
  <si>
    <t>Gia sư Tiếng Anh Cô Mai</t>
  </si>
  <si>
    <t>Dạy kèm nhóm 4-6 học sinh</t>
  </si>
  <si>
    <t>3 nhóm (15 học sinh)</t>
  </si>
  <si>
    <t>Nhắn tin Zalo từng phụ huynh</t>
  </si>
  <si>
    <t>Học sinh nghỉ hay quên trừ tiền, phụ huynh thắc mắc</t>
  </si>
  <si>
    <t>Thích tính năng điểm danh tự trừ tiền buổi vắng</t>
  </si>
  <si>
    <t>Sẵn sàng trả phí năm 499k</t>
  </si>
  <si>
    <t>KH-08</t>
  </si>
  <si>
    <t>Điện lạnh Thành Đạt</t>
  </si>
  <si>
    <t>Lắp đặt &amp; sửa chữa máy lạnh</t>
  </si>
  <si>
    <t>2 thợ</t>
  </si>
  <si>
    <t>Dán tem giấy bạc</t>
  </si>
  <si>
    <t>Tem rách, khách mất số không gọi lại khi máy hỏng</t>
  </si>
  <si>
    <t>Thích mã QR dán lên máy bấm nút gọi thẳng số thợ</t>
  </si>
  <si>
    <t>Quan tâm tem QR</t>
  </si>
  <si>
    <t>KH-09</t>
  </si>
  <si>
    <t>Máy lọc nước Tân Á Đại Thành (Đại lý)</t>
  </si>
  <si>
    <t>Lắp đặt &amp; thay lõi lọc nước</t>
  </si>
  <si>
    <t>3 nhân viên</t>
  </si>
  <si>
    <t>Lưu số trên danh bạ điện thoại</t>
  </si>
  <si>
    <t>Quên chu kỳ 6 tháng thay lõi lọc, mất doanh thu bán lõi</t>
  </si>
  <si>
    <t>Cần tính năng sau 6 tháng tự nhắc gọi khách</t>
  </si>
  <si>
    <t>Hẹn gặp tuần tới</t>
  </si>
  <si>
    <t>KH-10</t>
  </si>
  <si>
    <t>Xưởng rèm cửa Ánh Dương</t>
  </si>
  <si>
    <t>May &amp; lắp đặt rèm cửa</t>
  </si>
  <si>
    <t>Mang quyển mẫu vải đến nhà khách</t>
  </si>
  <si>
    <t>Khách phân vân mẫu vải, gửi ảnh Zalo bị trôi mất mã vải</t>
  </si>
  <si>
    <t>Thích catalog điện tử tick chọn mẫu vải ra giá</t>
  </si>
  <si>
    <t>Đang theo dõi</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</si>
</sst>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0.0"/>
    <numFmt numFmtId="181" formatCode="#,##0\ &quot;đ&quot;"/>
  </numFmts>
  <fonts count="29">
    <font>
      <sz val="11"/>
      <color theme="1"/>
      <name val="Calibri"/>
      <charset val="134"/>
      <scheme val="minor"/>
    </font>
    <font>
      <b/>
      <sz val="15"/>
      <color rgb="FFFFFFFF"/>
      <name val="Calibri"/>
      <charset val="134"/>
    </font>
    <font>
      <sz val="11"/>
      <name val="Calibri"/>
      <charset val="134"/>
      <scheme val="minor"/>
    </font>
    <font>
      <b/>
      <sz val="11"/>
      <color rgb="FFFFFFFF"/>
      <name val="Calibri"/>
      <charset val="134"/>
    </font>
    <font>
      <b/>
      <sz val="10"/>
      <color rgb="FF0F172A"/>
      <name val="Calibri"/>
      <charset val="134"/>
    </font>
    <font>
      <sz val="10"/>
      <color rgb="FF1E293B"/>
      <name val="Calibri"/>
      <charset val="134"/>
    </font>
    <font>
      <i/>
      <sz val="10"/>
      <color rgb="FFE2E8F0"/>
      <name val="Calibri"/>
      <charset val="134"/>
    </font>
    <font>
      <b/>
      <sz val="10"/>
      <color rgb="FF166534"/>
      <name val="Calibri"/>
      <charset val="134"/>
    </font>
    <font>
      <b/>
      <sz val="10"/>
      <color rgb="FF3730A3"/>
      <name val="Calibri"/>
      <charset val="134"/>
    </font>
    <font>
      <b/>
      <sz val="12"/>
      <color rgb="FF1E293B"/>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0F172A"/>
        <bgColor rgb="FF0F172A"/>
      </patternFill>
    </fill>
    <fill>
      <patternFill patternType="solid">
        <fgColor rgb="FF1E293B"/>
        <bgColor rgb="FF1E293B"/>
      </patternFill>
    </fill>
    <fill>
      <patternFill patternType="solid">
        <fgColor rgb="FFDCFCE7"/>
        <bgColor rgb="FFDCFCE7"/>
      </patternFill>
    </fill>
    <fill>
      <patternFill patternType="solid">
        <fgColor rgb="FFE0E7FF"/>
        <bgColor rgb="FFE0E7FF"/>
      </patternFill>
    </fill>
    <fill>
      <patternFill patternType="solid">
        <fgColor rgb="FFFFFF00"/>
        <bgColor rgb="FFFFFF00"/>
      </patternFill>
    </fill>
    <fill>
      <patternFill patternType="solid">
        <fgColor rgb="FFF8FAFC"/>
        <bgColor rgb="FFF8FAFC"/>
      </patternFill>
    </fill>
    <fill>
      <patternFill patternType="solid">
        <fgColor rgb="FFFFFFFF"/>
        <bgColor rgb="FFFFFFFF"/>
      </patternFill>
    </fill>
    <fill>
      <patternFill patternType="solid">
        <fgColor rgb="FFF1F5F9"/>
        <bgColor rgb="FFF1F5F9"/>
      </patternFill>
    </fill>
    <fill>
      <patternFill patternType="solid">
        <fgColor rgb="FFFEF3C7"/>
        <bgColor rgb="FFFEF3C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diagonal/>
    </border>
    <border>
      <left/>
      <right style="thin">
        <color rgb="FFCBD5E1"/>
      </right>
      <top style="thin">
        <color rgb="FFCBD5E1"/>
      </top>
      <bottom/>
      <diagonal/>
    </border>
    <border>
      <left style="thin">
        <color rgb="FFCBD5E1"/>
      </left>
      <right/>
      <top/>
      <bottom style="thin">
        <color rgb="FFCBD5E1"/>
      </bottom>
      <diagonal/>
    </border>
    <border>
      <left/>
      <right style="thin">
        <color rgb="FFCBD5E1"/>
      </right>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1" borderId="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7" fillId="0" borderId="0" applyNumberFormat="0" applyFill="0" applyBorder="0" applyAlignment="0" applyProtection="0">
      <alignment vertical="center"/>
    </xf>
    <xf numFmtId="0" fontId="18" fillId="12" borderId="9" applyNumberFormat="0" applyAlignment="0" applyProtection="0">
      <alignment vertical="center"/>
    </xf>
    <xf numFmtId="0" fontId="19" fillId="13" borderId="10" applyNumberFormat="0" applyAlignment="0" applyProtection="0">
      <alignment vertical="center"/>
    </xf>
    <xf numFmtId="0" fontId="20" fillId="13" borderId="9" applyNumberFormat="0" applyAlignment="0" applyProtection="0">
      <alignment vertical="center"/>
    </xf>
    <xf numFmtId="0" fontId="21" fillId="14" borderId="11" applyNumberFormat="0" applyAlignment="0" applyProtection="0">
      <alignment vertical="center"/>
    </xf>
    <xf numFmtId="0" fontId="22" fillId="0" borderId="12" applyNumberFormat="0" applyFill="0" applyAlignment="0" applyProtection="0">
      <alignment vertical="center"/>
    </xf>
    <xf numFmtId="0" fontId="23" fillId="0" borderId="13" applyNumberFormat="0" applyFill="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xf numFmtId="0" fontId="27" fillId="38" borderId="0" applyNumberFormat="0" applyBorder="0" applyAlignment="0" applyProtection="0">
      <alignment vertical="center"/>
    </xf>
    <xf numFmtId="0" fontId="28" fillId="39" borderId="0" applyNumberFormat="0" applyBorder="0" applyAlignment="0" applyProtection="0">
      <alignment vertical="center"/>
    </xf>
    <xf numFmtId="0" fontId="28" fillId="40" borderId="0" applyNumberFormat="0" applyBorder="0" applyAlignment="0" applyProtection="0">
      <alignment vertical="center"/>
    </xf>
    <xf numFmtId="0" fontId="27" fillId="41" borderId="0" applyNumberFormat="0" applyBorder="0" applyAlignment="0" applyProtection="0">
      <alignment vertical="center"/>
    </xf>
  </cellStyleXfs>
  <cellXfs count="37">
    <xf numFmtId="0" fontId="0" fillId="0" borderId="0" xfId="0" applyFont="1" applyAlignment="1"/>
    <xf numFmtId="0" fontId="1" fillId="2" borderId="0" xfId="0" applyFont="1" applyFill="1" applyBorder="1" applyAlignment="1">
      <alignment horizontal="center" vertical="center"/>
    </xf>
    <xf numFmtId="0" fontId="2" fillId="0" borderId="0" xfId="0" applyFont="1" applyBorder="1"/>
    <xf numFmtId="0" fontId="3"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vertical="center" wrapText="1"/>
    </xf>
    <xf numFmtId="0" fontId="5" fillId="0" borderId="1" xfId="0" applyFont="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6" fillId="2" borderId="0" xfId="0" applyFont="1" applyFill="1" applyBorder="1" applyAlignment="1">
      <alignment horizontal="center" vertical="center"/>
    </xf>
    <xf numFmtId="0" fontId="5" fillId="4" borderId="1" xfId="0" applyFont="1" applyFill="1" applyBorder="1" applyAlignment="1">
      <alignment horizontal="center"/>
    </xf>
    <xf numFmtId="0" fontId="5" fillId="4" borderId="1" xfId="0" applyFont="1" applyFill="1" applyBorder="1"/>
    <xf numFmtId="180" fontId="5" fillId="4" borderId="1" xfId="0" applyNumberFormat="1" applyFont="1" applyFill="1" applyBorder="1" applyAlignment="1">
      <alignment horizontal="center"/>
    </xf>
    <xf numFmtId="0" fontId="7" fillId="4" borderId="1" xfId="0" applyFont="1" applyFill="1" applyBorder="1" applyAlignment="1">
      <alignment horizontal="center"/>
    </xf>
    <xf numFmtId="0" fontId="5" fillId="5" borderId="1" xfId="0" applyFont="1" applyFill="1" applyBorder="1" applyAlignment="1">
      <alignment horizontal="center"/>
    </xf>
    <xf numFmtId="0" fontId="5" fillId="5" borderId="1" xfId="0" applyFont="1" applyFill="1" applyBorder="1"/>
    <xf numFmtId="180" fontId="5" fillId="5" borderId="1" xfId="0" applyNumberFormat="1" applyFont="1" applyFill="1" applyBorder="1" applyAlignment="1">
      <alignment horizontal="center"/>
    </xf>
    <xf numFmtId="0" fontId="8" fillId="5" borderId="1" xfId="0" applyFont="1" applyFill="1" applyBorder="1" applyAlignment="1">
      <alignment horizontal="center"/>
    </xf>
    <xf numFmtId="0" fontId="5" fillId="6" borderId="1" xfId="0" applyFont="1" applyFill="1" applyBorder="1" applyAlignment="1">
      <alignment horizontal="center"/>
    </xf>
    <xf numFmtId="0" fontId="5" fillId="6" borderId="1" xfId="0" applyFont="1" applyFill="1" applyBorder="1"/>
    <xf numFmtId="0" fontId="5" fillId="7" borderId="1" xfId="0" applyFont="1" applyFill="1" applyBorder="1" applyAlignment="1">
      <alignment horizontal="center"/>
    </xf>
    <xf numFmtId="0" fontId="5" fillId="7" borderId="1" xfId="0" applyFont="1" applyFill="1" applyBorder="1"/>
    <xf numFmtId="180" fontId="5" fillId="7" borderId="1" xfId="0" applyNumberFormat="1" applyFont="1" applyFill="1" applyBorder="1" applyAlignment="1">
      <alignment horizontal="center"/>
    </xf>
    <xf numFmtId="0" fontId="5" fillId="8" borderId="1" xfId="0" applyFont="1" applyFill="1" applyBorder="1" applyAlignment="1">
      <alignment horizontal="center"/>
    </xf>
    <xf numFmtId="0" fontId="5" fillId="8" borderId="1" xfId="0" applyFont="1" applyFill="1" applyBorder="1"/>
    <xf numFmtId="180" fontId="5" fillId="8" borderId="1" xfId="0" applyNumberFormat="1" applyFont="1" applyFill="1" applyBorder="1" applyAlignment="1">
      <alignment horizontal="center"/>
    </xf>
    <xf numFmtId="0" fontId="4" fillId="9"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2" fillId="0" borderId="5" xfId="0" applyFont="1" applyBorder="1"/>
    <xf numFmtId="0" fontId="9" fillId="0" borderId="0" xfId="0" applyFont="1"/>
    <xf numFmtId="180" fontId="4" fillId="0" borderId="1" xfId="0" applyNumberFormat="1" applyFont="1" applyBorder="1" applyAlignment="1">
      <alignment horizontal="center" vertical="center"/>
    </xf>
    <xf numFmtId="0" fontId="4" fillId="10" borderId="1" xfId="0" applyFont="1" applyFill="1" applyBorder="1" applyAlignment="1">
      <alignment horizontal="center" vertical="center"/>
    </xf>
    <xf numFmtId="0" fontId="5" fillId="0" borderId="1" xfId="0" applyFont="1" applyBorder="1" applyAlignment="1">
      <alignment vertical="center"/>
    </xf>
    <xf numFmtId="181" fontId="5" fillId="0" borderId="1" xfId="0" applyNumberFormat="1" applyFont="1" applyBorder="1" applyAlignment="1">
      <alignment horizontal="right" vertical="center"/>
    </xf>
    <xf numFmtId="0" fontId="4" fillId="4" borderId="1" xfId="0" applyFont="1" applyFill="1" applyBorder="1" applyAlignment="1">
      <alignment vertical="center"/>
    </xf>
    <xf numFmtId="181" fontId="4" fillId="4" borderId="1" xfId="0" applyNumberFormat="1" applyFont="1" applyFill="1" applyBorder="1" applyAlignment="1">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C8" sqref="C8"/>
    </sheetView>
  </sheetViews>
  <sheetFormatPr defaultColWidth="14.4296875" defaultRowHeight="15"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tabSelected="1" workbookViewId="0">
      <selection activeCell="A1" sqref="A1:J1"/>
    </sheetView>
  </sheetViews>
  <sheetFormatPr defaultColWidth="14.4296875" defaultRowHeight="15" customHeight="1"/>
  <cols>
    <col min="1" max="1" width="53" customWidth="1"/>
    <col min="2" max="2" width="45" customWidth="1"/>
    <col min="3" max="5" width="60" customWidth="1"/>
    <col min="6" max="7" width="25" customWidth="1"/>
    <col min="8" max="8" width="16" customWidth="1"/>
    <col min="9" max="9" width="28" customWidth="1"/>
    <col min="10" max="10" width="12" customWidth="1"/>
    <col min="11" max="26" width="8.7109375" customWidth="1"/>
  </cols>
  <sheetData>
    <row r="1" ht="34.5" customHeight="1" spans="1:10">
      <c r="A1" s="1" t="s">
        <v>0</v>
      </c>
      <c r="B1" s="2"/>
      <c r="C1" s="2"/>
      <c r="D1" s="2"/>
      <c r="E1" s="2"/>
      <c r="F1" s="2"/>
      <c r="G1" s="2"/>
      <c r="H1" s="2"/>
      <c r="I1" s="2"/>
      <c r="J1" s="2"/>
    </row>
    <row r="2" ht="21.75" customHeight="1" spans="1:10">
      <c r="A2" s="9" t="s">
        <v>1</v>
      </c>
      <c r="B2" s="2"/>
      <c r="C2" s="2"/>
      <c r="D2" s="2"/>
      <c r="E2" s="2"/>
      <c r="F2" s="2"/>
      <c r="G2" s="2"/>
      <c r="H2" s="2"/>
      <c r="I2" s="2"/>
      <c r="J2" s="2"/>
    </row>
    <row r="4" ht="30" customHeight="1" spans="1:10">
      <c r="A4" s="26" t="s">
        <v>2</v>
      </c>
      <c r="B4" s="27"/>
      <c r="C4" s="26" t="s">
        <v>3</v>
      </c>
      <c r="D4" s="27"/>
      <c r="E4" s="26" t="s">
        <v>4</v>
      </c>
      <c r="F4" s="27"/>
      <c r="G4" s="26" t="s">
        <v>5</v>
      </c>
      <c r="H4" s="27"/>
      <c r="I4" s="26" t="s">
        <v>6</v>
      </c>
      <c r="J4" s="27"/>
    </row>
    <row r="5" ht="30" customHeight="1" spans="1:10">
      <c r="A5" s="28"/>
      <c r="B5" s="29"/>
      <c r="C5" s="28"/>
      <c r="D5" s="29"/>
      <c r="E5" s="28"/>
      <c r="F5" s="29"/>
      <c r="G5" s="28"/>
      <c r="H5" s="29"/>
      <c r="I5" s="28"/>
      <c r="J5" s="29"/>
    </row>
    <row r="7" ht="24" customHeight="1" spans="1:10">
      <c r="A7" s="30" t="s">
        <v>7</v>
      </c>
    </row>
    <row r="8" ht="27.75" customHeight="1" spans="1:10">
      <c r="A8" s="3" t="s">
        <v>8</v>
      </c>
      <c r="B8" s="3" t="s">
        <v>9</v>
      </c>
      <c r="C8" s="3" t="s">
        <v>10</v>
      </c>
      <c r="D8" s="3" t="s">
        <v>11</v>
      </c>
      <c r="E8" s="3" t="s">
        <v>12</v>
      </c>
      <c r="F8" s="3" t="s">
        <v>13</v>
      </c>
      <c r="G8" s="3" t="s">
        <v>14</v>
      </c>
      <c r="H8" s="3" t="s">
        <v>15</v>
      </c>
    </row>
    <row r="9" ht="42" customHeight="1" spans="1:10">
      <c r="A9" s="7" t="s">
        <v>16</v>
      </c>
      <c r="B9" s="5" t="s">
        <v>17</v>
      </c>
      <c r="C9" s="5" t="s">
        <v>18</v>
      </c>
      <c r="D9" s="5" t="s">
        <v>19</v>
      </c>
      <c r="E9" s="5" t="s">
        <v>20</v>
      </c>
      <c r="F9" s="5" t="s">
        <v>21</v>
      </c>
      <c r="G9" s="31">
        <v>92</v>
      </c>
      <c r="H9" s="6" t="s">
        <v>22</v>
      </c>
    </row>
    <row r="10" ht="42" customHeight="1" spans="1:10">
      <c r="A10" s="8" t="s">
        <v>23</v>
      </c>
      <c r="B10" s="5" t="s">
        <v>24</v>
      </c>
      <c r="C10" s="5" t="s">
        <v>25</v>
      </c>
      <c r="D10" s="5" t="s">
        <v>26</v>
      </c>
      <c r="E10" s="5" t="s">
        <v>27</v>
      </c>
      <c r="F10" s="5" t="s">
        <v>28</v>
      </c>
      <c r="G10" s="31">
        <v>91</v>
      </c>
      <c r="H10" s="6" t="s">
        <v>29</v>
      </c>
    </row>
    <row r="11" ht="42" customHeight="1" spans="1:10">
      <c r="A11" s="32" t="s">
        <v>30</v>
      </c>
      <c r="B11" s="5" t="s">
        <v>31</v>
      </c>
      <c r="C11" s="5" t="s">
        <v>32</v>
      </c>
      <c r="D11" s="5" t="s">
        <v>33</v>
      </c>
      <c r="E11" s="5" t="s">
        <v>34</v>
      </c>
      <c r="F11" s="5" t="s">
        <v>35</v>
      </c>
      <c r="G11" s="31">
        <v>91</v>
      </c>
      <c r="H11" s="6" t="s">
        <v>22</v>
      </c>
    </row>
    <row r="13" ht="24" customHeight="1" spans="1:10">
      <c r="A13" s="30" t="s">
        <v>36</v>
      </c>
    </row>
    <row r="14" ht="25.5" customHeight="1" spans="1:10">
      <c r="A14" s="3" t="s">
        <v>37</v>
      </c>
      <c r="B14" s="3" t="s">
        <v>38</v>
      </c>
      <c r="C14" s="3" t="s">
        <v>39</v>
      </c>
      <c r="D14" s="3" t="s">
        <v>40</v>
      </c>
      <c r="E14" s="3" t="s">
        <v>41</v>
      </c>
    </row>
    <row r="15" ht="24" customHeight="1" spans="1:10">
      <c r="A15" s="33" t="s">
        <v>42</v>
      </c>
      <c r="B15" s="33" t="s">
        <v>43</v>
      </c>
      <c r="C15" s="34">
        <v>299000</v>
      </c>
      <c r="D15" s="34">
        <v>0</v>
      </c>
      <c r="E15" s="33" t="s">
        <v>44</v>
      </c>
    </row>
    <row r="16" ht="24" customHeight="1" spans="1:10">
      <c r="A16" s="33" t="s">
        <v>45</v>
      </c>
      <c r="B16" s="33" t="s">
        <v>46</v>
      </c>
      <c r="C16" s="34">
        <v>0</v>
      </c>
      <c r="D16" s="34">
        <v>0</v>
      </c>
      <c r="E16" s="33" t="s">
        <v>47</v>
      </c>
    </row>
    <row r="17" ht="24" customHeight="1" spans="1:5">
      <c r="A17" s="33" t="s">
        <v>48</v>
      </c>
      <c r="B17" s="33" t="s">
        <v>49</v>
      </c>
      <c r="C17" s="34">
        <v>0</v>
      </c>
      <c r="D17" s="34">
        <v>0</v>
      </c>
      <c r="E17" s="33" t="s">
        <v>50</v>
      </c>
    </row>
    <row r="18" ht="24" customHeight="1" spans="1:5">
      <c r="A18" s="33" t="s">
        <v>51</v>
      </c>
      <c r="B18" s="33" t="s">
        <v>52</v>
      </c>
      <c r="C18" s="34">
        <v>0</v>
      </c>
      <c r="D18" s="34">
        <v>0</v>
      </c>
      <c r="E18" s="33" t="s">
        <v>53</v>
      </c>
    </row>
    <row r="19" ht="24" customHeight="1" spans="1:5">
      <c r="A19" s="33" t="s">
        <v>54</v>
      </c>
      <c r="B19" s="33" t="s">
        <v>55</v>
      </c>
      <c r="C19" s="34">
        <v>0</v>
      </c>
      <c r="D19" s="34">
        <v>0</v>
      </c>
      <c r="E19" s="33" t="s">
        <v>56</v>
      </c>
    </row>
    <row r="20" ht="24" customHeight="1" spans="1:5">
      <c r="A20" s="33" t="s">
        <v>57</v>
      </c>
      <c r="B20" s="33" t="s">
        <v>58</v>
      </c>
      <c r="C20" s="34">
        <v>300000</v>
      </c>
      <c r="D20" s="34">
        <v>50000</v>
      </c>
      <c r="E20" s="33" t="s">
        <v>59</v>
      </c>
    </row>
    <row r="21" ht="24" customHeight="1" spans="1:5">
      <c r="A21" s="33" t="s">
        <v>60</v>
      </c>
      <c r="B21" s="33" t="s">
        <v>61</v>
      </c>
      <c r="C21" s="34">
        <v>401000</v>
      </c>
      <c r="D21" s="34">
        <v>0</v>
      </c>
      <c r="E21" s="33" t="s">
        <v>62</v>
      </c>
    </row>
    <row r="22" ht="24" customHeight="1" spans="1:5">
      <c r="A22" s="35" t="s">
        <v>63</v>
      </c>
      <c r="B22" s="35" t="s">
        <v>64</v>
      </c>
      <c r="C22" s="36">
        <v>1000000</v>
      </c>
      <c r="D22" s="36">
        <v>50000</v>
      </c>
      <c r="E22" s="35" t="s">
        <v>65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J1"/>
    <mergeCell ref="A2:J2"/>
    <mergeCell ref="A4:B5"/>
    <mergeCell ref="C4:D5"/>
    <mergeCell ref="E4:F5"/>
    <mergeCell ref="G4:H5"/>
    <mergeCell ref="I4:J5"/>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00"/>
  <sheetViews>
    <sheetView workbookViewId="0">
      <pane ySplit="3" topLeftCell="A4" activePane="bottomLeft" state="frozen"/>
      <selection/>
      <selection pane="bottomLeft" activeCell="B5" sqref="B5"/>
    </sheetView>
  </sheetViews>
  <sheetFormatPr defaultColWidth="14.4296875" defaultRowHeight="15" customHeight="1"/>
  <cols>
    <col min="1" max="1" width="12" customWidth="1"/>
    <col min="2" max="3" width="48" customWidth="1"/>
    <col min="4" max="8" width="12" customWidth="1"/>
    <col min="9" max="9" width="14" customWidth="1"/>
    <col min="10" max="10" width="12" customWidth="1"/>
    <col min="11" max="11" width="55" customWidth="1"/>
    <col min="12" max="13" width="60" customWidth="1"/>
    <col min="14" max="26" width="8.7109375" customWidth="1"/>
  </cols>
  <sheetData>
    <row r="1" ht="31.5" customHeight="1" spans="1:13">
      <c r="A1" s="1" t="s">
        <v>66</v>
      </c>
      <c r="B1" s="2"/>
      <c r="C1" s="2"/>
      <c r="D1" s="2"/>
      <c r="E1" s="2"/>
      <c r="F1" s="2"/>
      <c r="G1" s="2"/>
      <c r="H1" s="2"/>
      <c r="I1" s="2"/>
      <c r="J1" s="2"/>
      <c r="K1" s="2"/>
      <c r="L1" s="2"/>
      <c r="M1" s="2"/>
    </row>
    <row r="2" ht="19.5" customHeight="1" spans="1:13">
      <c r="A2" s="9" t="s">
        <v>67</v>
      </c>
      <c r="B2" s="2"/>
      <c r="C2" s="2"/>
      <c r="D2" s="2"/>
      <c r="E2" s="2"/>
      <c r="F2" s="2"/>
      <c r="G2" s="2"/>
      <c r="H2" s="2"/>
      <c r="I2" s="2"/>
      <c r="J2" s="2"/>
      <c r="K2" s="2"/>
      <c r="L2" s="2"/>
      <c r="M2" s="2"/>
    </row>
    <row r="3" ht="31.5" customHeight="1" spans="1:13">
      <c r="A3" s="3" t="s">
        <v>68</v>
      </c>
      <c r="B3" s="3" t="s">
        <v>9</v>
      </c>
      <c r="C3" s="3" t="s">
        <v>10</v>
      </c>
      <c r="D3" s="3" t="s">
        <v>69</v>
      </c>
      <c r="E3" s="3" t="s">
        <v>70</v>
      </c>
      <c r="F3" s="3" t="s">
        <v>71</v>
      </c>
      <c r="G3" s="3" t="s">
        <v>72</v>
      </c>
      <c r="H3" s="3" t="s">
        <v>73</v>
      </c>
      <c r="I3" s="3" t="s">
        <v>74</v>
      </c>
      <c r="J3" s="3" t="s">
        <v>75</v>
      </c>
      <c r="K3" s="3" t="s">
        <v>76</v>
      </c>
      <c r="L3" s="3" t="s">
        <v>77</v>
      </c>
      <c r="M3" s="3" t="s">
        <v>78</v>
      </c>
    </row>
    <row r="4" ht="19.5" customHeight="1" spans="1:13">
      <c r="A4" s="10">
        <v>1</v>
      </c>
      <c r="B4" s="11" t="s">
        <v>79</v>
      </c>
      <c r="C4" s="11" t="s">
        <v>80</v>
      </c>
      <c r="D4" s="10">
        <v>5</v>
      </c>
      <c r="E4" s="10">
        <v>5</v>
      </c>
      <c r="F4" s="10">
        <v>4</v>
      </c>
      <c r="G4" s="10">
        <v>4</v>
      </c>
      <c r="H4" s="10">
        <v>4</v>
      </c>
      <c r="I4" s="10">
        <v>5</v>
      </c>
      <c r="J4" s="10">
        <v>5</v>
      </c>
      <c r="K4" s="12">
        <f t="shared" ref="K4:K43" si="0">(D4*25+E4*20+F4*15+G4*15+H4*10+I4*10+J4*5)/5</f>
        <v>92</v>
      </c>
      <c r="L4" s="10" t="str">
        <f t="shared" ref="L4:L43" si="1">IF(K4&gt;=90,"Hạng A (Xuất sắc)",IF(K4&gt;=75,"Hạng B (Tiềm năng)",IF(K4&gt;=60,"Hạng C (Theo dõi)","Hạng D (Loại bỏ)")))</f>
        <v>Hạng A (Xuất sắc)</v>
      </c>
      <c r="M4" s="13" t="str">
        <f t="shared" ref="M4:M43" si="2">IF(K4&gt;=90,"⭐ Ưu tiên thử nghiệm ngay",IF(K4&gt;=75,"🔍 Khảo sát sâu thêm",IF(K4&gt;=60,"⏳ Theo dõi dự phòng","❌ Loại bỏ (chi phí/nhu cầu yếu)")))</f>
        <v>⭐ Ưu tiên thử nghiệm ngay</v>
      </c>
    </row>
    <row r="5" ht="19.5" customHeight="1" spans="1:13">
      <c r="A5" s="14">
        <v>2</v>
      </c>
      <c r="B5" s="15" t="s">
        <v>81</v>
      </c>
      <c r="C5" s="15" t="s">
        <v>82</v>
      </c>
      <c r="D5" s="14">
        <v>5</v>
      </c>
      <c r="E5" s="14">
        <v>4</v>
      </c>
      <c r="F5" s="14">
        <v>5</v>
      </c>
      <c r="G5" s="14">
        <v>4</v>
      </c>
      <c r="H5" s="14">
        <v>4</v>
      </c>
      <c r="I5" s="14">
        <v>5</v>
      </c>
      <c r="J5" s="14">
        <v>5</v>
      </c>
      <c r="K5" s="16">
        <f t="shared" si="0"/>
        <v>91</v>
      </c>
      <c r="L5" s="14" t="str">
        <f t="shared" si="1"/>
        <v>Hạng A (Xuất sắc)</v>
      </c>
      <c r="M5" s="17" t="str">
        <f t="shared" si="2"/>
        <v>⭐ Ưu tiên thử nghiệm ngay</v>
      </c>
    </row>
    <row r="6" ht="19.5" customHeight="1" spans="1:13">
      <c r="A6" s="14">
        <v>3</v>
      </c>
      <c r="B6" s="15" t="s">
        <v>83</v>
      </c>
      <c r="C6" s="15" t="s">
        <v>84</v>
      </c>
      <c r="D6" s="14">
        <v>5</v>
      </c>
      <c r="E6" s="14">
        <v>4</v>
      </c>
      <c r="F6" s="14">
        <v>5</v>
      </c>
      <c r="G6" s="14">
        <v>4</v>
      </c>
      <c r="H6" s="14">
        <v>4</v>
      </c>
      <c r="I6" s="14">
        <v>5</v>
      </c>
      <c r="J6" s="14">
        <v>5</v>
      </c>
      <c r="K6" s="16">
        <f t="shared" si="0"/>
        <v>91</v>
      </c>
      <c r="L6" s="14" t="str">
        <f t="shared" si="1"/>
        <v>Hạng A (Xuất sắc)</v>
      </c>
      <c r="M6" s="17" t="str">
        <f t="shared" si="2"/>
        <v>⭐ Ưu tiên thử nghiệm ngay</v>
      </c>
    </row>
    <row r="7" ht="19.5" customHeight="1" spans="1:13">
      <c r="A7" s="18">
        <v>4</v>
      </c>
      <c r="B7" s="19" t="s">
        <v>85</v>
      </c>
      <c r="C7" s="19" t="s">
        <v>86</v>
      </c>
      <c r="D7" s="14">
        <v>5</v>
      </c>
      <c r="E7" s="14">
        <v>4</v>
      </c>
      <c r="F7" s="14">
        <v>5</v>
      </c>
      <c r="G7" s="14">
        <v>4</v>
      </c>
      <c r="H7" s="14">
        <v>4</v>
      </c>
      <c r="I7" s="14">
        <v>5</v>
      </c>
      <c r="J7" s="14">
        <v>5</v>
      </c>
      <c r="K7" s="16">
        <f t="shared" si="0"/>
        <v>91</v>
      </c>
      <c r="L7" s="14" t="str">
        <f t="shared" si="1"/>
        <v>Hạng A (Xuất sắc)</v>
      </c>
      <c r="M7" s="17" t="str">
        <f t="shared" si="2"/>
        <v>⭐ Ưu tiên thử nghiệm ngay</v>
      </c>
    </row>
    <row r="8" ht="19.5" customHeight="1" spans="1:13">
      <c r="A8" s="20">
        <v>5</v>
      </c>
      <c r="B8" s="21" t="s">
        <v>87</v>
      </c>
      <c r="C8" s="21" t="s">
        <v>88</v>
      </c>
      <c r="D8" s="20">
        <v>5</v>
      </c>
      <c r="E8" s="20">
        <v>4</v>
      </c>
      <c r="F8" s="20">
        <v>4</v>
      </c>
      <c r="G8" s="20">
        <v>5</v>
      </c>
      <c r="H8" s="20">
        <v>4</v>
      </c>
      <c r="I8" s="20">
        <v>5</v>
      </c>
      <c r="J8" s="20">
        <v>4</v>
      </c>
      <c r="K8" s="22">
        <f t="shared" si="0"/>
        <v>90</v>
      </c>
      <c r="L8" s="20" t="str">
        <f t="shared" si="1"/>
        <v>Hạng A (Xuất sắc)</v>
      </c>
      <c r="M8" s="20" t="str">
        <f t="shared" si="2"/>
        <v>⭐ Ưu tiên thử nghiệm ngay</v>
      </c>
    </row>
    <row r="9" ht="19.5" customHeight="1" spans="1:13">
      <c r="A9" s="23">
        <v>6</v>
      </c>
      <c r="B9" s="24" t="s">
        <v>89</v>
      </c>
      <c r="C9" s="24" t="s">
        <v>90</v>
      </c>
      <c r="D9" s="23">
        <v>5</v>
      </c>
      <c r="E9" s="23">
        <v>4</v>
      </c>
      <c r="F9" s="23">
        <v>4</v>
      </c>
      <c r="G9" s="23">
        <v>4</v>
      </c>
      <c r="H9" s="23">
        <v>4</v>
      </c>
      <c r="I9" s="23">
        <v>5</v>
      </c>
      <c r="J9" s="23">
        <v>4</v>
      </c>
      <c r="K9" s="25">
        <f t="shared" si="0"/>
        <v>87</v>
      </c>
      <c r="L9" s="23" t="str">
        <f t="shared" si="1"/>
        <v>Hạng B (Tiềm năng)</v>
      </c>
      <c r="M9" s="23" t="str">
        <f t="shared" si="2"/>
        <v>🔍 Khảo sát sâu thêm</v>
      </c>
    </row>
    <row r="10" ht="19.5" customHeight="1" spans="1:13">
      <c r="A10" s="20">
        <v>7</v>
      </c>
      <c r="B10" s="21" t="s">
        <v>91</v>
      </c>
      <c r="C10" s="21" t="s">
        <v>92</v>
      </c>
      <c r="D10" s="20">
        <v>5</v>
      </c>
      <c r="E10" s="20">
        <v>4</v>
      </c>
      <c r="F10" s="20">
        <v>4</v>
      </c>
      <c r="G10" s="20">
        <v>4</v>
      </c>
      <c r="H10" s="20">
        <v>4</v>
      </c>
      <c r="I10" s="20">
        <v>5</v>
      </c>
      <c r="J10" s="20">
        <v>4</v>
      </c>
      <c r="K10" s="22">
        <f t="shared" si="0"/>
        <v>87</v>
      </c>
      <c r="L10" s="20" t="str">
        <f t="shared" si="1"/>
        <v>Hạng B (Tiềm năng)</v>
      </c>
      <c r="M10" s="20" t="str">
        <f t="shared" si="2"/>
        <v>🔍 Khảo sát sâu thêm</v>
      </c>
    </row>
    <row r="11" ht="19.5" customHeight="1" spans="1:13">
      <c r="A11" s="23">
        <v>8</v>
      </c>
      <c r="B11" s="24" t="s">
        <v>93</v>
      </c>
      <c r="C11" s="24" t="s">
        <v>94</v>
      </c>
      <c r="D11" s="23">
        <v>5</v>
      </c>
      <c r="E11" s="23">
        <v>4</v>
      </c>
      <c r="F11" s="23">
        <v>4</v>
      </c>
      <c r="G11" s="23">
        <v>3</v>
      </c>
      <c r="H11" s="23">
        <v>3</v>
      </c>
      <c r="I11" s="23">
        <v>5</v>
      </c>
      <c r="J11" s="23">
        <v>5</v>
      </c>
      <c r="K11" s="25">
        <f t="shared" si="0"/>
        <v>83</v>
      </c>
      <c r="L11" s="23" t="str">
        <f t="shared" si="1"/>
        <v>Hạng B (Tiềm năng)</v>
      </c>
      <c r="M11" s="23" t="str">
        <f t="shared" si="2"/>
        <v>🔍 Khảo sát sâu thêm</v>
      </c>
    </row>
    <row r="12" ht="19.5" customHeight="1" spans="1:13">
      <c r="A12" s="20">
        <v>9</v>
      </c>
      <c r="B12" s="21" t="s">
        <v>95</v>
      </c>
      <c r="C12" s="21" t="s">
        <v>96</v>
      </c>
      <c r="D12" s="20">
        <v>4</v>
      </c>
      <c r="E12" s="20">
        <v>4</v>
      </c>
      <c r="F12" s="20">
        <v>4</v>
      </c>
      <c r="G12" s="20">
        <v>3</v>
      </c>
      <c r="H12" s="20">
        <v>4</v>
      </c>
      <c r="I12" s="20">
        <v>5</v>
      </c>
      <c r="J12" s="20">
        <v>5</v>
      </c>
      <c r="K12" s="22">
        <f t="shared" si="0"/>
        <v>80</v>
      </c>
      <c r="L12" s="20" t="str">
        <f t="shared" si="1"/>
        <v>Hạng B (Tiềm năng)</v>
      </c>
      <c r="M12" s="20" t="str">
        <f t="shared" si="2"/>
        <v>🔍 Khảo sát sâu thêm</v>
      </c>
    </row>
    <row r="13" ht="19.5" customHeight="1" spans="1:13">
      <c r="A13" s="23">
        <v>10</v>
      </c>
      <c r="B13" s="24" t="s">
        <v>97</v>
      </c>
      <c r="C13" s="24" t="s">
        <v>98</v>
      </c>
      <c r="D13" s="23">
        <v>4</v>
      </c>
      <c r="E13" s="23">
        <v>4</v>
      </c>
      <c r="F13" s="23">
        <v>4</v>
      </c>
      <c r="G13" s="23">
        <v>3</v>
      </c>
      <c r="H13" s="23">
        <v>4</v>
      </c>
      <c r="I13" s="23">
        <v>5</v>
      </c>
      <c r="J13" s="23">
        <v>4</v>
      </c>
      <c r="K13" s="25">
        <f t="shared" si="0"/>
        <v>79</v>
      </c>
      <c r="L13" s="23" t="str">
        <f t="shared" si="1"/>
        <v>Hạng B (Tiềm năng)</v>
      </c>
      <c r="M13" s="23" t="str">
        <f t="shared" si="2"/>
        <v>🔍 Khảo sát sâu thêm</v>
      </c>
    </row>
    <row r="14" ht="19.5" customHeight="1" spans="1:13">
      <c r="A14" s="20">
        <v>11</v>
      </c>
      <c r="B14" s="21" t="s">
        <v>99</v>
      </c>
      <c r="C14" s="21" t="s">
        <v>100</v>
      </c>
      <c r="D14" s="20">
        <v>4</v>
      </c>
      <c r="E14" s="20">
        <v>4</v>
      </c>
      <c r="F14" s="20">
        <v>4</v>
      </c>
      <c r="G14" s="20">
        <v>3</v>
      </c>
      <c r="H14" s="20">
        <v>4</v>
      </c>
      <c r="I14" s="20">
        <v>5</v>
      </c>
      <c r="J14" s="20">
        <v>4</v>
      </c>
      <c r="K14" s="22">
        <f t="shared" si="0"/>
        <v>79</v>
      </c>
      <c r="L14" s="20" t="str">
        <f t="shared" si="1"/>
        <v>Hạng B (Tiềm năng)</v>
      </c>
      <c r="M14" s="20" t="str">
        <f t="shared" si="2"/>
        <v>🔍 Khảo sát sâu thêm</v>
      </c>
    </row>
    <row r="15" ht="19.5" customHeight="1" spans="1:13">
      <c r="A15" s="23">
        <v>12</v>
      </c>
      <c r="B15" s="24" t="s">
        <v>101</v>
      </c>
      <c r="C15" s="24" t="s">
        <v>102</v>
      </c>
      <c r="D15" s="23">
        <v>4</v>
      </c>
      <c r="E15" s="23">
        <v>4</v>
      </c>
      <c r="F15" s="23">
        <v>3</v>
      </c>
      <c r="G15" s="23">
        <v>4</v>
      </c>
      <c r="H15" s="23">
        <v>4</v>
      </c>
      <c r="I15" s="23">
        <v>5</v>
      </c>
      <c r="J15" s="23">
        <v>4</v>
      </c>
      <c r="K15" s="25">
        <f t="shared" si="0"/>
        <v>79</v>
      </c>
      <c r="L15" s="23" t="str">
        <f t="shared" si="1"/>
        <v>Hạng B (Tiềm năng)</v>
      </c>
      <c r="M15" s="23" t="str">
        <f t="shared" si="2"/>
        <v>🔍 Khảo sát sâu thêm</v>
      </c>
    </row>
    <row r="16" ht="19.5" customHeight="1" spans="1:13">
      <c r="A16" s="20">
        <v>13</v>
      </c>
      <c r="B16" s="21" t="s">
        <v>103</v>
      </c>
      <c r="C16" s="21" t="s">
        <v>104</v>
      </c>
      <c r="D16" s="20">
        <v>4</v>
      </c>
      <c r="E16" s="20">
        <v>4</v>
      </c>
      <c r="F16" s="20">
        <v>3</v>
      </c>
      <c r="G16" s="20">
        <v>4</v>
      </c>
      <c r="H16" s="20">
        <v>3</v>
      </c>
      <c r="I16" s="20">
        <v>5</v>
      </c>
      <c r="J16" s="20">
        <v>4</v>
      </c>
      <c r="K16" s="22">
        <f t="shared" si="0"/>
        <v>77</v>
      </c>
      <c r="L16" s="20" t="str">
        <f t="shared" si="1"/>
        <v>Hạng B (Tiềm năng)</v>
      </c>
      <c r="M16" s="20" t="str">
        <f t="shared" si="2"/>
        <v>🔍 Khảo sát sâu thêm</v>
      </c>
    </row>
    <row r="17" ht="19.5" customHeight="1" spans="1:13">
      <c r="A17" s="23">
        <v>14</v>
      </c>
      <c r="B17" s="24" t="s">
        <v>105</v>
      </c>
      <c r="C17" s="24" t="s">
        <v>106</v>
      </c>
      <c r="D17" s="23">
        <v>4</v>
      </c>
      <c r="E17" s="23">
        <v>4</v>
      </c>
      <c r="F17" s="23">
        <v>3</v>
      </c>
      <c r="G17" s="23">
        <v>3</v>
      </c>
      <c r="H17" s="23">
        <v>4</v>
      </c>
      <c r="I17" s="23">
        <v>5</v>
      </c>
      <c r="J17" s="23">
        <v>4</v>
      </c>
      <c r="K17" s="25">
        <f t="shared" si="0"/>
        <v>76</v>
      </c>
      <c r="L17" s="23" t="str">
        <f t="shared" si="1"/>
        <v>Hạng B (Tiềm năng)</v>
      </c>
      <c r="M17" s="23" t="str">
        <f t="shared" si="2"/>
        <v>🔍 Khảo sát sâu thêm</v>
      </c>
    </row>
    <row r="18" ht="19.5" customHeight="1" spans="1:13">
      <c r="A18" s="20">
        <v>15</v>
      </c>
      <c r="B18" s="21" t="s">
        <v>107</v>
      </c>
      <c r="C18" s="21" t="s">
        <v>108</v>
      </c>
      <c r="D18" s="20">
        <v>4</v>
      </c>
      <c r="E18" s="20">
        <v>4</v>
      </c>
      <c r="F18" s="20">
        <v>3</v>
      </c>
      <c r="G18" s="20">
        <v>3</v>
      </c>
      <c r="H18" s="20">
        <v>4</v>
      </c>
      <c r="I18" s="20">
        <v>5</v>
      </c>
      <c r="J18" s="20">
        <v>4</v>
      </c>
      <c r="K18" s="22">
        <f t="shared" si="0"/>
        <v>76</v>
      </c>
      <c r="L18" s="20" t="str">
        <f t="shared" si="1"/>
        <v>Hạng B (Tiềm năng)</v>
      </c>
      <c r="M18" s="20" t="str">
        <f t="shared" si="2"/>
        <v>🔍 Khảo sát sâu thêm</v>
      </c>
    </row>
    <row r="19" ht="19.5" customHeight="1" spans="1:13">
      <c r="A19" s="23">
        <v>16</v>
      </c>
      <c r="B19" s="24" t="s">
        <v>109</v>
      </c>
      <c r="C19" s="24" t="s">
        <v>110</v>
      </c>
      <c r="D19" s="23">
        <v>4</v>
      </c>
      <c r="E19" s="23">
        <v>3</v>
      </c>
      <c r="F19" s="23">
        <v>4</v>
      </c>
      <c r="G19" s="23">
        <v>3</v>
      </c>
      <c r="H19" s="23">
        <v>4</v>
      </c>
      <c r="I19" s="23">
        <v>5</v>
      </c>
      <c r="J19" s="23">
        <v>4</v>
      </c>
      <c r="K19" s="25">
        <f t="shared" si="0"/>
        <v>75</v>
      </c>
      <c r="L19" s="23" t="str">
        <f t="shared" si="1"/>
        <v>Hạng B (Tiềm năng)</v>
      </c>
      <c r="M19" s="23" t="str">
        <f t="shared" si="2"/>
        <v>🔍 Khảo sát sâu thêm</v>
      </c>
    </row>
    <row r="20" ht="19.5" customHeight="1" spans="1:13">
      <c r="A20" s="20">
        <v>17</v>
      </c>
      <c r="B20" s="21" t="s">
        <v>111</v>
      </c>
      <c r="C20" s="21" t="s">
        <v>112</v>
      </c>
      <c r="D20" s="20">
        <v>4</v>
      </c>
      <c r="E20" s="20">
        <v>3</v>
      </c>
      <c r="F20" s="20">
        <v>4</v>
      </c>
      <c r="G20" s="20">
        <v>2</v>
      </c>
      <c r="H20" s="20">
        <v>3</v>
      </c>
      <c r="I20" s="20">
        <v>5</v>
      </c>
      <c r="J20" s="20">
        <v>4</v>
      </c>
      <c r="K20" s="22">
        <f t="shared" si="0"/>
        <v>70</v>
      </c>
      <c r="L20" s="20" t="str">
        <f t="shared" si="1"/>
        <v>Hạng C (Theo dõi)</v>
      </c>
      <c r="M20" s="20" t="str">
        <f t="shared" si="2"/>
        <v>⏳ Theo dõi dự phòng</v>
      </c>
    </row>
    <row r="21" ht="19.5" customHeight="1" spans="1:13">
      <c r="A21" s="23">
        <v>18</v>
      </c>
      <c r="B21" s="24" t="s">
        <v>113</v>
      </c>
      <c r="C21" s="24" t="s">
        <v>114</v>
      </c>
      <c r="D21" s="23">
        <v>4</v>
      </c>
      <c r="E21" s="23">
        <v>3</v>
      </c>
      <c r="F21" s="23">
        <v>3</v>
      </c>
      <c r="G21" s="23">
        <v>3</v>
      </c>
      <c r="H21" s="23">
        <v>3</v>
      </c>
      <c r="I21" s="23">
        <v>5</v>
      </c>
      <c r="J21" s="23">
        <v>4</v>
      </c>
      <c r="K21" s="25">
        <f t="shared" si="0"/>
        <v>70</v>
      </c>
      <c r="L21" s="23" t="str">
        <f t="shared" si="1"/>
        <v>Hạng C (Theo dõi)</v>
      </c>
      <c r="M21" s="23" t="str">
        <f t="shared" si="2"/>
        <v>⏳ Theo dõi dự phòng</v>
      </c>
    </row>
    <row r="22" ht="19.5" customHeight="1" spans="1:13">
      <c r="A22" s="20">
        <v>19</v>
      </c>
      <c r="B22" s="21" t="s">
        <v>115</v>
      </c>
      <c r="C22" s="21" t="s">
        <v>116</v>
      </c>
      <c r="D22" s="20">
        <v>4</v>
      </c>
      <c r="E22" s="20">
        <v>3</v>
      </c>
      <c r="F22" s="20">
        <v>3</v>
      </c>
      <c r="G22" s="20">
        <v>3</v>
      </c>
      <c r="H22" s="20">
        <v>3</v>
      </c>
      <c r="I22" s="20">
        <v>5</v>
      </c>
      <c r="J22" s="20">
        <v>4</v>
      </c>
      <c r="K22" s="22">
        <f t="shared" si="0"/>
        <v>70</v>
      </c>
      <c r="L22" s="20" t="str">
        <f t="shared" si="1"/>
        <v>Hạng C (Theo dõi)</v>
      </c>
      <c r="M22" s="20" t="str">
        <f t="shared" si="2"/>
        <v>⏳ Theo dõi dự phòng</v>
      </c>
    </row>
    <row r="23" ht="19.5" customHeight="1" spans="1:13">
      <c r="A23" s="23">
        <v>20</v>
      </c>
      <c r="B23" s="24" t="s">
        <v>117</v>
      </c>
      <c r="C23" s="24" t="s">
        <v>118</v>
      </c>
      <c r="D23" s="23">
        <v>4</v>
      </c>
      <c r="E23" s="23">
        <v>3</v>
      </c>
      <c r="F23" s="23">
        <v>3</v>
      </c>
      <c r="G23" s="23">
        <v>2</v>
      </c>
      <c r="H23" s="23">
        <v>4</v>
      </c>
      <c r="I23" s="23">
        <v>5</v>
      </c>
      <c r="J23" s="23">
        <v>3</v>
      </c>
      <c r="K23" s="25">
        <f t="shared" si="0"/>
        <v>68</v>
      </c>
      <c r="L23" s="23" t="str">
        <f t="shared" si="1"/>
        <v>Hạng C (Theo dõi)</v>
      </c>
      <c r="M23" s="23" t="str">
        <f t="shared" si="2"/>
        <v>⏳ Theo dõi dự phòng</v>
      </c>
    </row>
    <row r="24" ht="19.5" customHeight="1" spans="1:13">
      <c r="A24" s="20">
        <v>21</v>
      </c>
      <c r="B24" s="21" t="s">
        <v>119</v>
      </c>
      <c r="C24" s="21" t="s">
        <v>120</v>
      </c>
      <c r="D24" s="20">
        <v>4</v>
      </c>
      <c r="E24" s="20">
        <v>4</v>
      </c>
      <c r="F24" s="20">
        <v>4</v>
      </c>
      <c r="G24" s="20">
        <v>2</v>
      </c>
      <c r="H24" s="20">
        <v>3</v>
      </c>
      <c r="I24" s="20">
        <v>4</v>
      </c>
      <c r="J24" s="20">
        <v>2</v>
      </c>
      <c r="K24" s="22">
        <f t="shared" si="0"/>
        <v>70</v>
      </c>
      <c r="L24" s="20" t="str">
        <f t="shared" si="1"/>
        <v>Hạng C (Theo dõi)</v>
      </c>
      <c r="M24" s="20" t="str">
        <f t="shared" si="2"/>
        <v>⏳ Theo dõi dự phòng</v>
      </c>
    </row>
    <row r="25" ht="19.5" customHeight="1" spans="1:13">
      <c r="A25" s="23">
        <v>22</v>
      </c>
      <c r="B25" s="24" t="s">
        <v>121</v>
      </c>
      <c r="C25" s="24" t="s">
        <v>122</v>
      </c>
      <c r="D25" s="23">
        <v>4</v>
      </c>
      <c r="E25" s="23">
        <v>3</v>
      </c>
      <c r="F25" s="23">
        <v>3</v>
      </c>
      <c r="G25" s="23">
        <v>3</v>
      </c>
      <c r="H25" s="23">
        <v>2</v>
      </c>
      <c r="I25" s="23">
        <v>3</v>
      </c>
      <c r="J25" s="23">
        <v>4</v>
      </c>
      <c r="K25" s="25">
        <f t="shared" si="0"/>
        <v>64</v>
      </c>
      <c r="L25" s="23" t="str">
        <f t="shared" si="1"/>
        <v>Hạng C (Theo dõi)</v>
      </c>
      <c r="M25" s="23" t="str">
        <f t="shared" si="2"/>
        <v>⏳ Theo dõi dự phòng</v>
      </c>
    </row>
    <row r="26" ht="19.5" customHeight="1" spans="1:13">
      <c r="A26" s="20">
        <v>23</v>
      </c>
      <c r="B26" s="21" t="s">
        <v>123</v>
      </c>
      <c r="C26" s="21" t="s">
        <v>124</v>
      </c>
      <c r="D26" s="20">
        <v>3</v>
      </c>
      <c r="E26" s="20">
        <v>3</v>
      </c>
      <c r="F26" s="20">
        <v>3</v>
      </c>
      <c r="G26" s="20">
        <v>3</v>
      </c>
      <c r="H26" s="20">
        <v>3</v>
      </c>
      <c r="I26" s="20">
        <v>5</v>
      </c>
      <c r="J26" s="20">
        <v>3</v>
      </c>
      <c r="K26" s="22">
        <f t="shared" si="0"/>
        <v>64</v>
      </c>
      <c r="L26" s="20" t="str">
        <f t="shared" si="1"/>
        <v>Hạng C (Theo dõi)</v>
      </c>
      <c r="M26" s="20" t="str">
        <f t="shared" si="2"/>
        <v>⏳ Theo dõi dự phòng</v>
      </c>
    </row>
    <row r="27" ht="19.5" customHeight="1" spans="1:13">
      <c r="A27" s="23">
        <v>24</v>
      </c>
      <c r="B27" s="24" t="s">
        <v>125</v>
      </c>
      <c r="C27" s="24" t="s">
        <v>126</v>
      </c>
      <c r="D27" s="23">
        <v>3</v>
      </c>
      <c r="E27" s="23">
        <v>3</v>
      </c>
      <c r="F27" s="23">
        <v>3</v>
      </c>
      <c r="G27" s="23">
        <v>2</v>
      </c>
      <c r="H27" s="23">
        <v>4</v>
      </c>
      <c r="I27" s="23">
        <v>5</v>
      </c>
      <c r="J27" s="23">
        <v>3</v>
      </c>
      <c r="K27" s="25">
        <f t="shared" si="0"/>
        <v>63</v>
      </c>
      <c r="L27" s="23" t="str">
        <f t="shared" si="1"/>
        <v>Hạng C (Theo dõi)</v>
      </c>
      <c r="M27" s="23" t="str">
        <f t="shared" si="2"/>
        <v>⏳ Theo dõi dự phòng</v>
      </c>
    </row>
    <row r="28" ht="19.5" customHeight="1" spans="1:13">
      <c r="A28" s="20">
        <v>25</v>
      </c>
      <c r="B28" s="21" t="s">
        <v>127</v>
      </c>
      <c r="C28" s="21" t="s">
        <v>128</v>
      </c>
      <c r="D28" s="20">
        <v>3</v>
      </c>
      <c r="E28" s="20">
        <v>3</v>
      </c>
      <c r="F28" s="20">
        <v>3</v>
      </c>
      <c r="G28" s="20">
        <v>3</v>
      </c>
      <c r="H28" s="20">
        <v>4</v>
      </c>
      <c r="I28" s="20">
        <v>5</v>
      </c>
      <c r="J28" s="20">
        <v>2</v>
      </c>
      <c r="K28" s="22">
        <f t="shared" si="0"/>
        <v>65</v>
      </c>
      <c r="L28" s="20" t="str">
        <f t="shared" si="1"/>
        <v>Hạng C (Theo dõi)</v>
      </c>
      <c r="M28" s="20" t="str">
        <f t="shared" si="2"/>
        <v>⏳ Theo dõi dự phòng</v>
      </c>
    </row>
    <row r="29" ht="19.5" customHeight="1" spans="1:13">
      <c r="A29" s="23">
        <v>26</v>
      </c>
      <c r="B29" s="24" t="s">
        <v>129</v>
      </c>
      <c r="C29" s="24" t="s">
        <v>130</v>
      </c>
      <c r="D29" s="23">
        <v>3</v>
      </c>
      <c r="E29" s="23">
        <v>3</v>
      </c>
      <c r="F29" s="23">
        <v>3</v>
      </c>
      <c r="G29" s="23">
        <v>2</v>
      </c>
      <c r="H29" s="23">
        <v>4</v>
      </c>
      <c r="I29" s="23">
        <v>5</v>
      </c>
      <c r="J29" s="23">
        <v>3</v>
      </c>
      <c r="K29" s="25">
        <f t="shared" si="0"/>
        <v>63</v>
      </c>
      <c r="L29" s="23" t="str">
        <f t="shared" si="1"/>
        <v>Hạng C (Theo dõi)</v>
      </c>
      <c r="M29" s="23" t="str">
        <f t="shared" si="2"/>
        <v>⏳ Theo dõi dự phòng</v>
      </c>
    </row>
    <row r="30" ht="19.5" customHeight="1" spans="1:13">
      <c r="A30" s="20">
        <v>27</v>
      </c>
      <c r="B30" s="21" t="s">
        <v>131</v>
      </c>
      <c r="C30" s="21" t="s">
        <v>132</v>
      </c>
      <c r="D30" s="20">
        <v>3</v>
      </c>
      <c r="E30" s="20">
        <v>3</v>
      </c>
      <c r="F30" s="20">
        <v>3</v>
      </c>
      <c r="G30" s="20">
        <v>3</v>
      </c>
      <c r="H30" s="20">
        <v>3</v>
      </c>
      <c r="I30" s="20">
        <v>4</v>
      </c>
      <c r="J30" s="20">
        <v>3</v>
      </c>
      <c r="K30" s="22">
        <f t="shared" si="0"/>
        <v>62</v>
      </c>
      <c r="L30" s="20" t="str">
        <f t="shared" si="1"/>
        <v>Hạng C (Theo dõi)</v>
      </c>
      <c r="M30" s="20" t="str">
        <f t="shared" si="2"/>
        <v>⏳ Theo dõi dự phòng</v>
      </c>
    </row>
    <row r="31" ht="19.5" customHeight="1" spans="1:13">
      <c r="A31" s="23">
        <v>28</v>
      </c>
      <c r="B31" s="24" t="s">
        <v>133</v>
      </c>
      <c r="C31" s="24" t="s">
        <v>134</v>
      </c>
      <c r="D31" s="23">
        <v>4</v>
      </c>
      <c r="E31" s="23">
        <v>3</v>
      </c>
      <c r="F31" s="23">
        <v>3</v>
      </c>
      <c r="G31" s="23">
        <v>4</v>
      </c>
      <c r="H31" s="23">
        <v>2</v>
      </c>
      <c r="I31" s="23">
        <v>2</v>
      </c>
      <c r="J31" s="23">
        <v>4</v>
      </c>
      <c r="K31" s="25">
        <f t="shared" si="0"/>
        <v>65</v>
      </c>
      <c r="L31" s="23" t="str">
        <f t="shared" si="1"/>
        <v>Hạng C (Theo dõi)</v>
      </c>
      <c r="M31" s="23" t="str">
        <f t="shared" si="2"/>
        <v>⏳ Theo dõi dự phòng</v>
      </c>
    </row>
    <row r="32" ht="19.5" customHeight="1" spans="1:13">
      <c r="A32" s="20">
        <v>29</v>
      </c>
      <c r="B32" s="21" t="s">
        <v>135</v>
      </c>
      <c r="C32" s="21" t="s">
        <v>136</v>
      </c>
      <c r="D32" s="20">
        <v>4</v>
      </c>
      <c r="E32" s="20">
        <v>3</v>
      </c>
      <c r="F32" s="20">
        <v>3</v>
      </c>
      <c r="G32" s="20">
        <v>2</v>
      </c>
      <c r="H32" s="20">
        <v>2</v>
      </c>
      <c r="I32" s="20">
        <v>2</v>
      </c>
      <c r="J32" s="20">
        <v>4</v>
      </c>
      <c r="K32" s="22">
        <f t="shared" si="0"/>
        <v>59</v>
      </c>
      <c r="L32" s="20" t="str">
        <f t="shared" si="1"/>
        <v>Hạng D (Loại bỏ)</v>
      </c>
      <c r="M32" s="20" t="str">
        <f t="shared" si="2"/>
        <v>❌ Loại bỏ (chi phí/nhu cầu yếu)</v>
      </c>
    </row>
    <row r="33" ht="19.5" customHeight="1" spans="1:13">
      <c r="A33" s="23">
        <v>30</v>
      </c>
      <c r="B33" s="24" t="s">
        <v>137</v>
      </c>
      <c r="C33" s="24" t="s">
        <v>138</v>
      </c>
      <c r="D33" s="23">
        <v>3</v>
      </c>
      <c r="E33" s="23">
        <v>3</v>
      </c>
      <c r="F33" s="23">
        <v>3</v>
      </c>
      <c r="G33" s="23">
        <v>2</v>
      </c>
      <c r="H33" s="23">
        <v>3</v>
      </c>
      <c r="I33" s="23">
        <v>5</v>
      </c>
      <c r="J33" s="23">
        <v>3</v>
      </c>
      <c r="K33" s="25">
        <f t="shared" si="0"/>
        <v>61</v>
      </c>
      <c r="L33" s="23" t="str">
        <f t="shared" si="1"/>
        <v>Hạng C (Theo dõi)</v>
      </c>
      <c r="M33" s="23" t="str">
        <f t="shared" si="2"/>
        <v>⏳ Theo dõi dự phòng</v>
      </c>
    </row>
    <row r="34" ht="19.5" customHeight="1" spans="1:13">
      <c r="A34" s="20">
        <v>31</v>
      </c>
      <c r="B34" s="21" t="s">
        <v>139</v>
      </c>
      <c r="C34" s="21" t="s">
        <v>140</v>
      </c>
      <c r="D34" s="20">
        <v>3</v>
      </c>
      <c r="E34" s="20">
        <v>3</v>
      </c>
      <c r="F34" s="20">
        <v>3</v>
      </c>
      <c r="G34" s="20">
        <v>2</v>
      </c>
      <c r="H34" s="20">
        <v>3</v>
      </c>
      <c r="I34" s="20">
        <v>5</v>
      </c>
      <c r="J34" s="20">
        <v>3</v>
      </c>
      <c r="K34" s="22">
        <f t="shared" si="0"/>
        <v>61</v>
      </c>
      <c r="L34" s="20" t="str">
        <f t="shared" si="1"/>
        <v>Hạng C (Theo dõi)</v>
      </c>
      <c r="M34" s="20" t="str">
        <f t="shared" si="2"/>
        <v>⏳ Theo dõi dự phòng</v>
      </c>
    </row>
    <row r="35" ht="19.5" customHeight="1" spans="1:13">
      <c r="A35" s="23">
        <v>32</v>
      </c>
      <c r="B35" s="24" t="s">
        <v>141</v>
      </c>
      <c r="C35" s="24" t="s">
        <v>142</v>
      </c>
      <c r="D35" s="23">
        <v>3</v>
      </c>
      <c r="E35" s="23">
        <v>3</v>
      </c>
      <c r="F35" s="23">
        <v>3</v>
      </c>
      <c r="G35" s="23">
        <v>2</v>
      </c>
      <c r="H35" s="23">
        <v>3</v>
      </c>
      <c r="I35" s="23">
        <v>5</v>
      </c>
      <c r="J35" s="23">
        <v>2</v>
      </c>
      <c r="K35" s="25">
        <f t="shared" si="0"/>
        <v>60</v>
      </c>
      <c r="L35" s="23" t="str">
        <f t="shared" si="1"/>
        <v>Hạng C (Theo dõi)</v>
      </c>
      <c r="M35" s="23" t="str">
        <f t="shared" si="2"/>
        <v>⏳ Theo dõi dự phòng</v>
      </c>
    </row>
    <row r="36" ht="19.5" customHeight="1" spans="1:13">
      <c r="A36" s="20">
        <v>33</v>
      </c>
      <c r="B36" s="21" t="s">
        <v>143</v>
      </c>
      <c r="C36" s="21" t="s">
        <v>144</v>
      </c>
      <c r="D36" s="20">
        <v>3</v>
      </c>
      <c r="E36" s="20">
        <v>3</v>
      </c>
      <c r="F36" s="20">
        <v>3</v>
      </c>
      <c r="G36" s="20">
        <v>2</v>
      </c>
      <c r="H36" s="20">
        <v>3</v>
      </c>
      <c r="I36" s="20">
        <v>4</v>
      </c>
      <c r="J36" s="20">
        <v>3</v>
      </c>
      <c r="K36" s="22">
        <f t="shared" si="0"/>
        <v>59</v>
      </c>
      <c r="L36" s="20" t="str">
        <f t="shared" si="1"/>
        <v>Hạng D (Loại bỏ)</v>
      </c>
      <c r="M36" s="20" t="str">
        <f t="shared" si="2"/>
        <v>❌ Loại bỏ (chi phí/nhu cầu yếu)</v>
      </c>
    </row>
    <row r="37" ht="19.5" customHeight="1" spans="1:13">
      <c r="A37" s="23">
        <v>34</v>
      </c>
      <c r="B37" s="24" t="s">
        <v>145</v>
      </c>
      <c r="C37" s="24" t="s">
        <v>146</v>
      </c>
      <c r="D37" s="23">
        <v>3</v>
      </c>
      <c r="E37" s="23">
        <v>2</v>
      </c>
      <c r="F37" s="23">
        <v>3</v>
      </c>
      <c r="G37" s="23">
        <v>2</v>
      </c>
      <c r="H37" s="23">
        <v>3</v>
      </c>
      <c r="I37" s="23">
        <v>4</v>
      </c>
      <c r="J37" s="23">
        <v>4</v>
      </c>
      <c r="K37" s="25">
        <f t="shared" si="0"/>
        <v>56</v>
      </c>
      <c r="L37" s="23" t="str">
        <f t="shared" si="1"/>
        <v>Hạng D (Loại bỏ)</v>
      </c>
      <c r="M37" s="23" t="str">
        <f t="shared" si="2"/>
        <v>❌ Loại bỏ (chi phí/nhu cầu yếu)</v>
      </c>
    </row>
    <row r="38" ht="19.5" customHeight="1" spans="1:13">
      <c r="A38" s="20">
        <v>35</v>
      </c>
      <c r="B38" s="21" t="s">
        <v>147</v>
      </c>
      <c r="C38" s="21" t="s">
        <v>148</v>
      </c>
      <c r="D38" s="20">
        <v>3</v>
      </c>
      <c r="E38" s="20">
        <v>3</v>
      </c>
      <c r="F38" s="20">
        <v>2</v>
      </c>
      <c r="G38" s="20">
        <v>3</v>
      </c>
      <c r="H38" s="20">
        <v>2</v>
      </c>
      <c r="I38" s="20">
        <v>3</v>
      </c>
      <c r="J38" s="20">
        <v>3</v>
      </c>
      <c r="K38" s="22">
        <f t="shared" si="0"/>
        <v>55</v>
      </c>
      <c r="L38" s="20" t="str">
        <f t="shared" si="1"/>
        <v>Hạng D (Loại bỏ)</v>
      </c>
      <c r="M38" s="20" t="str">
        <f t="shared" si="2"/>
        <v>❌ Loại bỏ (chi phí/nhu cầu yếu)</v>
      </c>
    </row>
    <row r="39" ht="19.5" customHeight="1" spans="1:13">
      <c r="A39" s="23">
        <v>36</v>
      </c>
      <c r="B39" s="24" t="s">
        <v>149</v>
      </c>
      <c r="C39" s="24" t="s">
        <v>150</v>
      </c>
      <c r="D39" s="23">
        <v>3</v>
      </c>
      <c r="E39" s="23">
        <v>2</v>
      </c>
      <c r="F39" s="23">
        <v>3</v>
      </c>
      <c r="G39" s="23">
        <v>2</v>
      </c>
      <c r="H39" s="23">
        <v>4</v>
      </c>
      <c r="I39" s="23">
        <v>5</v>
      </c>
      <c r="J39" s="23">
        <v>2</v>
      </c>
      <c r="K39" s="25">
        <f t="shared" si="0"/>
        <v>58</v>
      </c>
      <c r="L39" s="23" t="str">
        <f t="shared" si="1"/>
        <v>Hạng D (Loại bỏ)</v>
      </c>
      <c r="M39" s="23" t="str">
        <f t="shared" si="2"/>
        <v>❌ Loại bỏ (chi phí/nhu cầu yếu)</v>
      </c>
    </row>
    <row r="40" ht="19.5" customHeight="1" spans="1:13">
      <c r="A40" s="20">
        <v>37</v>
      </c>
      <c r="B40" s="21" t="s">
        <v>151</v>
      </c>
      <c r="C40" s="21" t="s">
        <v>152</v>
      </c>
      <c r="D40" s="20">
        <v>3</v>
      </c>
      <c r="E40" s="20">
        <v>2</v>
      </c>
      <c r="F40" s="20">
        <v>3</v>
      </c>
      <c r="G40" s="20">
        <v>2</v>
      </c>
      <c r="H40" s="20">
        <v>3</v>
      </c>
      <c r="I40" s="20">
        <v>3</v>
      </c>
      <c r="J40" s="20">
        <v>4</v>
      </c>
      <c r="K40" s="22">
        <f t="shared" si="0"/>
        <v>54</v>
      </c>
      <c r="L40" s="20" t="str">
        <f t="shared" si="1"/>
        <v>Hạng D (Loại bỏ)</v>
      </c>
      <c r="M40" s="20" t="str">
        <f t="shared" si="2"/>
        <v>❌ Loại bỏ (chi phí/nhu cầu yếu)</v>
      </c>
    </row>
    <row r="41" ht="19.5" customHeight="1" spans="1:13">
      <c r="A41" s="23">
        <v>38</v>
      </c>
      <c r="B41" s="24" t="s">
        <v>153</v>
      </c>
      <c r="C41" s="24" t="s">
        <v>154</v>
      </c>
      <c r="D41" s="23">
        <v>3</v>
      </c>
      <c r="E41" s="23">
        <v>2</v>
      </c>
      <c r="F41" s="23">
        <v>3</v>
      </c>
      <c r="G41" s="23">
        <v>2</v>
      </c>
      <c r="H41" s="23">
        <v>3</v>
      </c>
      <c r="I41" s="23">
        <v>3</v>
      </c>
      <c r="J41" s="23">
        <v>3</v>
      </c>
      <c r="K41" s="25">
        <f t="shared" si="0"/>
        <v>53</v>
      </c>
      <c r="L41" s="23" t="str">
        <f t="shared" si="1"/>
        <v>Hạng D (Loại bỏ)</v>
      </c>
      <c r="M41" s="23" t="str">
        <f t="shared" si="2"/>
        <v>❌ Loại bỏ (chi phí/nhu cầu yếu)</v>
      </c>
    </row>
    <row r="42" ht="19.5" customHeight="1" spans="1:13">
      <c r="A42" s="20">
        <v>39</v>
      </c>
      <c r="B42" s="21" t="s">
        <v>155</v>
      </c>
      <c r="C42" s="21" t="s">
        <v>156</v>
      </c>
      <c r="D42" s="20">
        <v>3</v>
      </c>
      <c r="E42" s="20">
        <v>3</v>
      </c>
      <c r="F42" s="20">
        <v>2</v>
      </c>
      <c r="G42" s="20">
        <v>2</v>
      </c>
      <c r="H42" s="20">
        <v>2</v>
      </c>
      <c r="I42" s="20">
        <v>2</v>
      </c>
      <c r="J42" s="20">
        <v>3</v>
      </c>
      <c r="K42" s="22">
        <f t="shared" si="0"/>
        <v>50</v>
      </c>
      <c r="L42" s="20" t="str">
        <f t="shared" si="1"/>
        <v>Hạng D (Loại bỏ)</v>
      </c>
      <c r="M42" s="20" t="str">
        <f t="shared" si="2"/>
        <v>❌ Loại bỏ (chi phí/nhu cầu yếu)</v>
      </c>
    </row>
    <row r="43" ht="19.5" customHeight="1" spans="1:13">
      <c r="A43" s="23">
        <v>40</v>
      </c>
      <c r="B43" s="24" t="s">
        <v>157</v>
      </c>
      <c r="C43" s="24" t="s">
        <v>158</v>
      </c>
      <c r="D43" s="23">
        <v>2</v>
      </c>
      <c r="E43" s="23">
        <v>2</v>
      </c>
      <c r="F43" s="23">
        <v>3</v>
      </c>
      <c r="G43" s="23">
        <v>2</v>
      </c>
      <c r="H43" s="23">
        <v>4</v>
      </c>
      <c r="I43" s="23">
        <v>5</v>
      </c>
      <c r="J43" s="23">
        <v>2</v>
      </c>
      <c r="K43" s="25">
        <f t="shared" si="0"/>
        <v>53</v>
      </c>
      <c r="L43" s="23" t="str">
        <f t="shared" si="1"/>
        <v>Hạng D (Loại bỏ)</v>
      </c>
      <c r="M43" s="23" t="str">
        <f t="shared" si="2"/>
        <v>❌ Loại bỏ (chi phí/nhu cầu yếu)</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M1"/>
    <mergeCell ref="A2:M2"/>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00"/>
  <sheetViews>
    <sheetView workbookViewId="0">
      <pane ySplit="2" topLeftCell="A3" activePane="bottomLeft" state="frozen"/>
      <selection/>
      <selection pane="bottomLeft" activeCell="B4" sqref="B4"/>
    </sheetView>
  </sheetViews>
  <sheetFormatPr defaultColWidth="14.4296875" defaultRowHeight="15" customHeight="1"/>
  <cols>
    <col min="1" max="1" width="12" customWidth="1"/>
    <col min="2" max="2" width="44" customWidth="1"/>
    <col min="3" max="3" width="43" customWidth="1"/>
    <col min="4" max="7" width="60" customWidth="1"/>
    <col min="8" max="8" width="20" customWidth="1"/>
    <col min="9" max="9" width="34" customWidth="1"/>
    <col min="10" max="10" width="60" customWidth="1"/>
    <col min="11" max="11" width="28" customWidth="1"/>
    <col min="12" max="26" width="8.7109375" customWidth="1"/>
  </cols>
  <sheetData>
    <row r="1" ht="31.5" customHeight="1" spans="1:11">
      <c r="A1" s="1" t="s">
        <v>159</v>
      </c>
      <c r="B1" s="2"/>
      <c r="C1" s="2"/>
      <c r="D1" s="2"/>
      <c r="E1" s="2"/>
      <c r="F1" s="2"/>
      <c r="G1" s="2"/>
      <c r="H1" s="2"/>
      <c r="I1" s="2"/>
      <c r="J1" s="2"/>
      <c r="K1" s="2"/>
    </row>
    <row r="2" ht="30" customHeight="1" spans="1:11">
      <c r="A2" s="3" t="s">
        <v>68</v>
      </c>
      <c r="B2" s="3" t="s">
        <v>160</v>
      </c>
      <c r="C2" s="3" t="s">
        <v>161</v>
      </c>
      <c r="D2" s="3" t="s">
        <v>162</v>
      </c>
      <c r="E2" s="3" t="s">
        <v>163</v>
      </c>
      <c r="F2" s="3" t="s">
        <v>164</v>
      </c>
      <c r="G2" s="3" t="s">
        <v>165</v>
      </c>
      <c r="H2" s="3" t="s">
        <v>166</v>
      </c>
      <c r="I2" s="3" t="s">
        <v>167</v>
      </c>
      <c r="J2" s="3" t="s">
        <v>168</v>
      </c>
      <c r="K2" s="3" t="s">
        <v>169</v>
      </c>
    </row>
    <row r="3" ht="48" customHeight="1" spans="1:11">
      <c r="A3" s="7">
        <v>1</v>
      </c>
      <c r="B3" s="5" t="s">
        <v>17</v>
      </c>
      <c r="C3" s="5" t="s">
        <v>170</v>
      </c>
      <c r="D3" s="5" t="s">
        <v>171</v>
      </c>
      <c r="E3" s="5" t="s">
        <v>172</v>
      </c>
      <c r="F3" s="5" t="s">
        <v>173</v>
      </c>
      <c r="G3" s="5" t="s">
        <v>174</v>
      </c>
      <c r="H3" s="5" t="s">
        <v>175</v>
      </c>
      <c r="I3" s="5" t="s">
        <v>176</v>
      </c>
      <c r="J3" s="5" t="s">
        <v>177</v>
      </c>
      <c r="K3" s="4" t="s">
        <v>178</v>
      </c>
    </row>
    <row r="4" ht="48" customHeight="1" spans="1:11">
      <c r="A4" s="8">
        <v>2</v>
      </c>
      <c r="B4" s="5" t="s">
        <v>179</v>
      </c>
      <c r="C4" s="5" t="s">
        <v>180</v>
      </c>
      <c r="D4" s="5" t="s">
        <v>181</v>
      </c>
      <c r="E4" s="5" t="s">
        <v>182</v>
      </c>
      <c r="F4" s="5" t="s">
        <v>183</v>
      </c>
      <c r="G4" s="5" t="s">
        <v>184</v>
      </c>
      <c r="H4" s="5" t="s">
        <v>185</v>
      </c>
      <c r="I4" s="5" t="s">
        <v>186</v>
      </c>
      <c r="J4" s="5" t="s">
        <v>187</v>
      </c>
      <c r="K4" s="4" t="s">
        <v>188</v>
      </c>
    </row>
    <row r="5" ht="48" customHeight="1" spans="1:11">
      <c r="A5" s="8">
        <v>3</v>
      </c>
      <c r="B5" s="5" t="s">
        <v>189</v>
      </c>
      <c r="C5" s="5" t="s">
        <v>190</v>
      </c>
      <c r="D5" s="5" t="s">
        <v>191</v>
      </c>
      <c r="E5" s="5" t="s">
        <v>192</v>
      </c>
      <c r="F5" s="5" t="s">
        <v>193</v>
      </c>
      <c r="G5" s="5" t="s">
        <v>194</v>
      </c>
      <c r="H5" s="5" t="s">
        <v>195</v>
      </c>
      <c r="I5" s="5" t="s">
        <v>196</v>
      </c>
      <c r="J5" s="5" t="s">
        <v>197</v>
      </c>
      <c r="K5" s="4" t="s">
        <v>198</v>
      </c>
    </row>
    <row r="6" ht="48" customHeight="1" spans="1:11">
      <c r="A6" s="4">
        <v>4</v>
      </c>
      <c r="B6" s="5" t="s">
        <v>199</v>
      </c>
      <c r="C6" s="5" t="s">
        <v>200</v>
      </c>
      <c r="D6" s="5" t="s">
        <v>201</v>
      </c>
      <c r="E6" s="5" t="s">
        <v>202</v>
      </c>
      <c r="F6" s="5" t="s">
        <v>203</v>
      </c>
      <c r="G6" s="5" t="s">
        <v>204</v>
      </c>
      <c r="H6" s="5" t="s">
        <v>205</v>
      </c>
      <c r="I6" s="5" t="s">
        <v>206</v>
      </c>
      <c r="J6" s="5" t="s">
        <v>207</v>
      </c>
      <c r="K6" s="4" t="s">
        <v>208</v>
      </c>
    </row>
    <row r="7" ht="48" customHeight="1" spans="1:11">
      <c r="A7" s="4">
        <v>5</v>
      </c>
      <c r="B7" s="5" t="s">
        <v>209</v>
      </c>
      <c r="C7" s="5" t="s">
        <v>210</v>
      </c>
      <c r="D7" s="5" t="s">
        <v>211</v>
      </c>
      <c r="E7" s="5" t="s">
        <v>212</v>
      </c>
      <c r="F7" s="5" t="s">
        <v>213</v>
      </c>
      <c r="G7" s="5" t="s">
        <v>214</v>
      </c>
      <c r="H7" s="5" t="s">
        <v>175</v>
      </c>
      <c r="I7" s="5" t="s">
        <v>215</v>
      </c>
      <c r="J7" s="5" t="s">
        <v>216</v>
      </c>
      <c r="K7" s="4" t="s">
        <v>217</v>
      </c>
    </row>
    <row r="8" ht="48" customHeight="1" spans="1:11">
      <c r="A8" s="4">
        <v>6</v>
      </c>
      <c r="B8" s="5" t="s">
        <v>218</v>
      </c>
      <c r="C8" s="5" t="s">
        <v>219</v>
      </c>
      <c r="D8" s="5" t="s">
        <v>220</v>
      </c>
      <c r="E8" s="5" t="s">
        <v>221</v>
      </c>
      <c r="F8" s="5" t="s">
        <v>222</v>
      </c>
      <c r="G8" s="5" t="s">
        <v>223</v>
      </c>
      <c r="H8" s="5" t="s">
        <v>224</v>
      </c>
      <c r="I8" s="5" t="s">
        <v>225</v>
      </c>
      <c r="J8" s="5" t="s">
        <v>226</v>
      </c>
      <c r="K8" s="4" t="s">
        <v>217</v>
      </c>
    </row>
    <row r="9" ht="48" customHeight="1" spans="1:11">
      <c r="A9" s="4">
        <v>7</v>
      </c>
      <c r="B9" s="5" t="s">
        <v>227</v>
      </c>
      <c r="C9" s="5" t="s">
        <v>228</v>
      </c>
      <c r="D9" s="5" t="s">
        <v>229</v>
      </c>
      <c r="E9" s="5" t="s">
        <v>230</v>
      </c>
      <c r="F9" s="5" t="s">
        <v>231</v>
      </c>
      <c r="G9" s="5" t="s">
        <v>232</v>
      </c>
      <c r="H9" s="5" t="s">
        <v>233</v>
      </c>
      <c r="I9" s="5" t="s">
        <v>206</v>
      </c>
      <c r="J9" s="5" t="s">
        <v>234</v>
      </c>
      <c r="K9" s="4" t="s">
        <v>235</v>
      </c>
    </row>
    <row r="10" ht="48" customHeight="1" spans="1:11">
      <c r="A10" s="4">
        <v>8</v>
      </c>
      <c r="B10" s="5" t="s">
        <v>105</v>
      </c>
      <c r="C10" s="5" t="s">
        <v>236</v>
      </c>
      <c r="D10" s="5" t="s">
        <v>237</v>
      </c>
      <c r="E10" s="5" t="s">
        <v>238</v>
      </c>
      <c r="F10" s="5" t="s">
        <v>239</v>
      </c>
      <c r="G10" s="5" t="s">
        <v>240</v>
      </c>
      <c r="H10" s="5" t="s">
        <v>241</v>
      </c>
      <c r="I10" s="5" t="s">
        <v>215</v>
      </c>
      <c r="J10" s="5" t="s">
        <v>242</v>
      </c>
      <c r="K10" s="4" t="s">
        <v>235</v>
      </c>
    </row>
    <row r="11" ht="48" customHeight="1" spans="1:11">
      <c r="A11" s="4">
        <v>9</v>
      </c>
      <c r="B11" s="5" t="s">
        <v>243</v>
      </c>
      <c r="C11" s="5" t="s">
        <v>244</v>
      </c>
      <c r="D11" s="5" t="s">
        <v>245</v>
      </c>
      <c r="E11" s="5" t="s">
        <v>246</v>
      </c>
      <c r="F11" s="5" t="s">
        <v>247</v>
      </c>
      <c r="G11" s="5" t="s">
        <v>248</v>
      </c>
      <c r="H11" s="5" t="s">
        <v>249</v>
      </c>
      <c r="I11" s="5" t="s">
        <v>215</v>
      </c>
      <c r="J11" s="5" t="s">
        <v>250</v>
      </c>
      <c r="K11" s="4" t="s">
        <v>235</v>
      </c>
    </row>
    <row r="12" ht="48" customHeight="1" spans="1:11">
      <c r="A12" s="4">
        <v>10</v>
      </c>
      <c r="B12" s="5" t="s">
        <v>251</v>
      </c>
      <c r="C12" s="5" t="s">
        <v>252</v>
      </c>
      <c r="D12" s="5" t="s">
        <v>253</v>
      </c>
      <c r="E12" s="5" t="s">
        <v>254</v>
      </c>
      <c r="F12" s="5" t="s">
        <v>255</v>
      </c>
      <c r="G12" s="5" t="s">
        <v>256</v>
      </c>
      <c r="H12" s="5" t="s">
        <v>249</v>
      </c>
      <c r="I12" s="5" t="s">
        <v>215</v>
      </c>
      <c r="J12" s="5" t="s">
        <v>257</v>
      </c>
      <c r="K12" s="4" t="s">
        <v>235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K1"/>
  </mergeCell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0"/>
  <sheetViews>
    <sheetView workbookViewId="0">
      <pane ySplit="2" topLeftCell="A3" activePane="bottomLeft" state="frozen"/>
      <selection/>
      <selection pane="bottomLeft" activeCell="B4" sqref="B4"/>
    </sheetView>
  </sheetViews>
  <sheetFormatPr defaultColWidth="14.4296875" defaultRowHeight="15" customHeight="1"/>
  <cols>
    <col min="1" max="1" width="12" customWidth="1"/>
    <col min="2" max="2" width="33" customWidth="1"/>
    <col min="3" max="3" width="22" customWidth="1"/>
    <col min="4" max="4" width="60" customWidth="1"/>
    <col min="5" max="6" width="16" customWidth="1"/>
    <col min="7" max="7" width="60" customWidth="1"/>
    <col min="8" max="8" width="31" customWidth="1"/>
    <col min="9" max="9" width="13" customWidth="1"/>
    <col min="10" max="10" width="60" customWidth="1"/>
    <col min="11" max="26" width="8.7109375" customWidth="1"/>
  </cols>
  <sheetData>
    <row r="1" ht="31.5" customHeight="1" spans="1:10">
      <c r="A1" s="1" t="s">
        <v>258</v>
      </c>
      <c r="B1" s="2"/>
      <c r="C1" s="2"/>
      <c r="D1" s="2"/>
      <c r="E1" s="2"/>
      <c r="F1" s="2"/>
      <c r="G1" s="2"/>
      <c r="H1" s="2"/>
      <c r="I1" s="2"/>
      <c r="J1" s="2"/>
    </row>
    <row r="2" ht="27.75" customHeight="1" spans="1:10">
      <c r="A2" s="3" t="s">
        <v>259</v>
      </c>
      <c r="B2" s="3" t="s">
        <v>260</v>
      </c>
      <c r="C2" s="3" t="s">
        <v>261</v>
      </c>
      <c r="D2" s="3" t="s">
        <v>262</v>
      </c>
      <c r="E2" s="3" t="s">
        <v>263</v>
      </c>
      <c r="F2" s="3" t="s">
        <v>264</v>
      </c>
      <c r="G2" s="3" t="s">
        <v>265</v>
      </c>
      <c r="H2" s="3" t="s">
        <v>266</v>
      </c>
      <c r="I2" s="3" t="s">
        <v>267</v>
      </c>
      <c r="J2" s="3" t="s">
        <v>268</v>
      </c>
    </row>
    <row r="3" ht="36" customHeight="1" spans="1:10">
      <c r="A3" s="4" t="s">
        <v>269</v>
      </c>
      <c r="B3" s="5" t="s">
        <v>270</v>
      </c>
      <c r="C3" s="5" t="s">
        <v>271</v>
      </c>
      <c r="D3" s="6" t="s">
        <v>272</v>
      </c>
      <c r="E3" s="6" t="s">
        <v>273</v>
      </c>
      <c r="F3" s="6" t="s">
        <v>274</v>
      </c>
      <c r="G3" s="5" t="s">
        <v>275</v>
      </c>
      <c r="H3" s="5" t="s">
        <v>276</v>
      </c>
      <c r="I3" s="6" t="s">
        <v>277</v>
      </c>
      <c r="J3" s="5" t="s">
        <v>278</v>
      </c>
    </row>
    <row r="4" ht="36" customHeight="1" spans="1:10">
      <c r="A4" s="4" t="s">
        <v>279</v>
      </c>
      <c r="B4" s="5" t="s">
        <v>270</v>
      </c>
      <c r="C4" s="5" t="s">
        <v>280</v>
      </c>
      <c r="D4" s="6" t="s">
        <v>281</v>
      </c>
      <c r="E4" s="6" t="s">
        <v>282</v>
      </c>
      <c r="F4" s="6" t="s">
        <v>274</v>
      </c>
      <c r="G4" s="5" t="s">
        <v>283</v>
      </c>
      <c r="H4" s="5" t="s">
        <v>284</v>
      </c>
      <c r="I4" s="6" t="s">
        <v>277</v>
      </c>
      <c r="J4" s="5" t="s">
        <v>285</v>
      </c>
    </row>
    <row r="5" ht="36" customHeight="1" spans="1:10">
      <c r="A5" s="4" t="s">
        <v>286</v>
      </c>
      <c r="B5" s="5" t="s">
        <v>270</v>
      </c>
      <c r="C5" s="5" t="s">
        <v>287</v>
      </c>
      <c r="D5" s="6" t="s">
        <v>288</v>
      </c>
      <c r="E5" s="6" t="s">
        <v>289</v>
      </c>
      <c r="F5" s="6" t="s">
        <v>274</v>
      </c>
      <c r="G5" s="5" t="s">
        <v>290</v>
      </c>
      <c r="H5" s="5" t="s">
        <v>291</v>
      </c>
      <c r="I5" s="6" t="s">
        <v>277</v>
      </c>
      <c r="J5" s="5" t="s">
        <v>292</v>
      </c>
    </row>
    <row r="6" ht="36" customHeight="1" spans="1:10">
      <c r="A6" s="4" t="s">
        <v>293</v>
      </c>
      <c r="B6" s="5" t="s">
        <v>270</v>
      </c>
      <c r="C6" s="5" t="s">
        <v>294</v>
      </c>
      <c r="D6" s="6" t="s">
        <v>295</v>
      </c>
      <c r="E6" s="6" t="s">
        <v>296</v>
      </c>
      <c r="F6" s="6" t="s">
        <v>274</v>
      </c>
      <c r="G6" s="5" t="s">
        <v>297</v>
      </c>
      <c r="H6" s="5" t="s">
        <v>298</v>
      </c>
      <c r="I6" s="6" t="s">
        <v>277</v>
      </c>
      <c r="J6" s="5" t="s">
        <v>299</v>
      </c>
    </row>
    <row r="7" ht="36" customHeight="1" spans="1:10">
      <c r="A7" s="4" t="s">
        <v>300</v>
      </c>
      <c r="B7" s="5" t="s">
        <v>270</v>
      </c>
      <c r="C7" s="5" t="s">
        <v>301</v>
      </c>
      <c r="D7" s="6" t="s">
        <v>302</v>
      </c>
      <c r="E7" s="6" t="s">
        <v>303</v>
      </c>
      <c r="F7" s="6" t="s">
        <v>274</v>
      </c>
      <c r="G7" s="5" t="s">
        <v>304</v>
      </c>
      <c r="H7" s="5" t="s">
        <v>305</v>
      </c>
      <c r="I7" s="6" t="s">
        <v>277</v>
      </c>
      <c r="J7" s="5" t="s">
        <v>306</v>
      </c>
    </row>
    <row r="8" ht="36" customHeight="1" spans="1:10">
      <c r="A8" s="4" t="s">
        <v>307</v>
      </c>
      <c r="B8" s="5" t="s">
        <v>308</v>
      </c>
      <c r="C8" s="5" t="s">
        <v>271</v>
      </c>
      <c r="D8" s="6" t="s">
        <v>309</v>
      </c>
      <c r="E8" s="6" t="s">
        <v>310</v>
      </c>
      <c r="F8" s="6" t="s">
        <v>274</v>
      </c>
      <c r="G8" s="5" t="s">
        <v>311</v>
      </c>
      <c r="H8" s="5" t="s">
        <v>312</v>
      </c>
      <c r="I8" s="6" t="s">
        <v>277</v>
      </c>
      <c r="J8" s="5" t="s">
        <v>313</v>
      </c>
    </row>
    <row r="9" ht="36" customHeight="1" spans="1:10">
      <c r="A9" s="4" t="s">
        <v>314</v>
      </c>
      <c r="B9" s="5" t="s">
        <v>308</v>
      </c>
      <c r="C9" s="5" t="s">
        <v>280</v>
      </c>
      <c r="D9" s="6" t="s">
        <v>315</v>
      </c>
      <c r="E9" s="6" t="s">
        <v>316</v>
      </c>
      <c r="F9" s="6" t="s">
        <v>274</v>
      </c>
      <c r="G9" s="5" t="s">
        <v>317</v>
      </c>
      <c r="H9" s="5" t="s">
        <v>318</v>
      </c>
      <c r="I9" s="6" t="s">
        <v>277</v>
      </c>
      <c r="J9" s="5" t="s">
        <v>319</v>
      </c>
    </row>
    <row r="10" ht="36" customHeight="1" spans="1:10">
      <c r="A10" s="4" t="s">
        <v>320</v>
      </c>
      <c r="B10" s="5" t="s">
        <v>308</v>
      </c>
      <c r="C10" s="5" t="s">
        <v>321</v>
      </c>
      <c r="D10" s="6" t="s">
        <v>295</v>
      </c>
      <c r="E10" s="6" t="s">
        <v>296</v>
      </c>
      <c r="F10" s="6" t="s">
        <v>274</v>
      </c>
      <c r="G10" s="5" t="s">
        <v>322</v>
      </c>
      <c r="H10" s="5" t="s">
        <v>323</v>
      </c>
      <c r="I10" s="6" t="s">
        <v>277</v>
      </c>
      <c r="J10" s="5" t="s">
        <v>324</v>
      </c>
    </row>
    <row r="11" ht="36" customHeight="1" spans="1:10">
      <c r="A11" s="4" t="s">
        <v>325</v>
      </c>
      <c r="B11" s="5" t="s">
        <v>326</v>
      </c>
      <c r="C11" s="5" t="s">
        <v>327</v>
      </c>
      <c r="D11" s="6" t="s">
        <v>328</v>
      </c>
      <c r="E11" s="6" t="s">
        <v>329</v>
      </c>
      <c r="F11" s="6" t="s">
        <v>274</v>
      </c>
      <c r="G11" s="5" t="s">
        <v>330</v>
      </c>
      <c r="H11" s="5" t="s">
        <v>331</v>
      </c>
      <c r="I11" s="6" t="s">
        <v>277</v>
      </c>
      <c r="J11" s="5" t="s">
        <v>332</v>
      </c>
    </row>
    <row r="12" ht="36" customHeight="1" spans="1:10">
      <c r="A12" s="4" t="s">
        <v>333</v>
      </c>
      <c r="B12" s="5" t="s">
        <v>326</v>
      </c>
      <c r="C12" s="5" t="s">
        <v>334</v>
      </c>
      <c r="D12" s="6" t="s">
        <v>335</v>
      </c>
      <c r="E12" s="6" t="s">
        <v>336</v>
      </c>
      <c r="F12" s="6" t="s">
        <v>274</v>
      </c>
      <c r="G12" s="5" t="s">
        <v>337</v>
      </c>
      <c r="H12" s="5" t="s">
        <v>338</v>
      </c>
      <c r="I12" s="6" t="s">
        <v>277</v>
      </c>
      <c r="J12" s="5" t="s">
        <v>339</v>
      </c>
    </row>
    <row r="13" ht="36" customHeight="1" spans="1:10">
      <c r="A13" s="4" t="s">
        <v>340</v>
      </c>
      <c r="B13" s="5" t="s">
        <v>326</v>
      </c>
      <c r="C13" s="5" t="s">
        <v>341</v>
      </c>
      <c r="D13" s="6" t="s">
        <v>342</v>
      </c>
      <c r="E13" s="6" t="s">
        <v>343</v>
      </c>
      <c r="F13" s="6" t="s">
        <v>274</v>
      </c>
      <c r="G13" s="5" t="s">
        <v>344</v>
      </c>
      <c r="H13" s="5" t="s">
        <v>345</v>
      </c>
      <c r="I13" s="6" t="s">
        <v>277</v>
      </c>
      <c r="J13" s="5" t="s">
        <v>346</v>
      </c>
    </row>
    <row r="14" ht="36" customHeight="1" spans="1:10">
      <c r="A14" s="4" t="s">
        <v>347</v>
      </c>
      <c r="B14" s="5" t="s">
        <v>348</v>
      </c>
      <c r="C14" s="5" t="s">
        <v>349</v>
      </c>
      <c r="D14" s="6" t="s">
        <v>295</v>
      </c>
      <c r="E14" s="6" t="s">
        <v>296</v>
      </c>
      <c r="F14" s="6" t="s">
        <v>274</v>
      </c>
      <c r="G14" s="5" t="s">
        <v>350</v>
      </c>
      <c r="H14" s="5" t="s">
        <v>351</v>
      </c>
      <c r="I14" s="6" t="s">
        <v>277</v>
      </c>
      <c r="J14" s="5" t="s">
        <v>352</v>
      </c>
    </row>
    <row r="15" ht="36" customHeight="1" spans="1:10">
      <c r="A15" s="4" t="s">
        <v>353</v>
      </c>
      <c r="B15" s="5" t="s">
        <v>348</v>
      </c>
      <c r="C15" s="5" t="s">
        <v>354</v>
      </c>
      <c r="D15" s="6" t="s">
        <v>355</v>
      </c>
      <c r="E15" s="6" t="s">
        <v>356</v>
      </c>
      <c r="F15" s="6" t="s">
        <v>274</v>
      </c>
      <c r="G15" s="5" t="s">
        <v>357</v>
      </c>
      <c r="H15" s="5" t="s">
        <v>358</v>
      </c>
      <c r="I15" s="6" t="s">
        <v>277</v>
      </c>
      <c r="J15" s="5" t="s">
        <v>359</v>
      </c>
    </row>
    <row r="16" ht="36" customHeight="1" spans="1:10">
      <c r="A16" s="4" t="s">
        <v>360</v>
      </c>
      <c r="B16" s="5" t="s">
        <v>361</v>
      </c>
      <c r="C16" s="5" t="s">
        <v>341</v>
      </c>
      <c r="D16" s="6" t="s">
        <v>362</v>
      </c>
      <c r="E16" s="6" t="s">
        <v>316</v>
      </c>
      <c r="F16" s="6" t="s">
        <v>274</v>
      </c>
      <c r="G16" s="5" t="s">
        <v>363</v>
      </c>
      <c r="H16" s="5" t="s">
        <v>364</v>
      </c>
      <c r="I16" s="6" t="s">
        <v>277</v>
      </c>
      <c r="J16" s="5" t="s">
        <v>365</v>
      </c>
    </row>
    <row r="17" ht="36" customHeight="1" spans="1:10">
      <c r="A17" s="4" t="s">
        <v>366</v>
      </c>
      <c r="B17" s="5" t="s">
        <v>367</v>
      </c>
      <c r="C17" s="5" t="s">
        <v>368</v>
      </c>
      <c r="D17" s="6" t="s">
        <v>369</v>
      </c>
      <c r="E17" s="6" t="s">
        <v>370</v>
      </c>
      <c r="F17" s="6" t="s">
        <v>274</v>
      </c>
      <c r="G17" s="5" t="s">
        <v>371</v>
      </c>
      <c r="H17" s="5" t="s">
        <v>372</v>
      </c>
      <c r="I17" s="6" t="s">
        <v>277</v>
      </c>
      <c r="J17" s="5" t="s">
        <v>373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G1"/>
    </sheetView>
  </sheetViews>
  <sheetFormatPr defaultColWidth="14.4296875" defaultRowHeight="15" customHeight="1" outlineLevelCol="6"/>
  <cols>
    <col min="1" max="1" width="32" customWidth="1"/>
    <col min="2" max="6" width="60" customWidth="1"/>
    <col min="7" max="7" width="26" customWidth="1"/>
    <col min="8" max="26" width="8.7109375" customWidth="1"/>
  </cols>
  <sheetData>
    <row r="1" ht="31.5" customHeight="1" spans="1:7">
      <c r="A1" s="1" t="s">
        <v>374</v>
      </c>
      <c r="B1" s="2"/>
      <c r="C1" s="2"/>
      <c r="D1" s="2"/>
      <c r="E1" s="2"/>
      <c r="F1" s="2"/>
      <c r="G1" s="2"/>
    </row>
    <row r="2" ht="27.75" customHeight="1" spans="1:7">
      <c r="A2" s="3" t="s">
        <v>375</v>
      </c>
      <c r="B2" s="3" t="s">
        <v>376</v>
      </c>
      <c r="C2" s="3" t="s">
        <v>377</v>
      </c>
      <c r="D2" s="3" t="s">
        <v>378</v>
      </c>
      <c r="E2" s="3" t="s">
        <v>379</v>
      </c>
      <c r="F2" s="3" t="s">
        <v>380</v>
      </c>
      <c r="G2" s="3" t="s">
        <v>381</v>
      </c>
    </row>
    <row r="3" ht="54.75" customHeight="1" spans="1:7">
      <c r="A3" s="4" t="s">
        <v>382</v>
      </c>
      <c r="B3" s="5" t="s">
        <v>383</v>
      </c>
      <c r="C3" s="5" t="s">
        <v>384</v>
      </c>
      <c r="D3" s="5" t="s">
        <v>385</v>
      </c>
      <c r="E3" s="5" t="s">
        <v>386</v>
      </c>
      <c r="F3" s="5" t="s">
        <v>387</v>
      </c>
      <c r="G3" s="4" t="s">
        <v>388</v>
      </c>
    </row>
    <row r="4" ht="54.75" customHeight="1" spans="1:7">
      <c r="A4" s="7" t="s">
        <v>389</v>
      </c>
      <c r="B4" s="5" t="s">
        <v>390</v>
      </c>
      <c r="C4" s="5" t="s">
        <v>391</v>
      </c>
      <c r="D4" s="5" t="s">
        <v>392</v>
      </c>
      <c r="E4" s="5" t="s">
        <v>393</v>
      </c>
      <c r="F4" s="5" t="s">
        <v>394</v>
      </c>
      <c r="G4" s="4" t="s">
        <v>395</v>
      </c>
    </row>
    <row r="5" ht="54.75" customHeight="1" spans="1:7">
      <c r="A5" s="4" t="s">
        <v>396</v>
      </c>
      <c r="B5" s="5" t="s">
        <v>397</v>
      </c>
      <c r="C5" s="5" t="s">
        <v>398</v>
      </c>
      <c r="D5" s="5" t="s">
        <v>399</v>
      </c>
      <c r="E5" s="5" t="s">
        <v>400</v>
      </c>
      <c r="F5" s="5" t="s">
        <v>401</v>
      </c>
      <c r="G5" s="4" t="s">
        <v>402</v>
      </c>
    </row>
    <row r="6" ht="54.75" customHeight="1" spans="1:7">
      <c r="A6" s="8" t="s">
        <v>403</v>
      </c>
      <c r="B6" s="5" t="s">
        <v>404</v>
      </c>
      <c r="C6" s="5" t="s">
        <v>405</v>
      </c>
      <c r="D6" s="5" t="s">
        <v>406</v>
      </c>
      <c r="E6" s="5" t="s">
        <v>407</v>
      </c>
      <c r="F6" s="5" t="s">
        <v>408</v>
      </c>
      <c r="G6" s="4" t="s">
        <v>409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00"/>
  <sheetViews>
    <sheetView workbookViewId="0">
      <pane ySplit="2" topLeftCell="A3" activePane="bottomLeft" state="frozen"/>
      <selection/>
      <selection pane="bottomLeft" activeCell="B4" sqref="B4"/>
    </sheetView>
  </sheetViews>
  <sheetFormatPr defaultColWidth="14.4296875" defaultRowHeight="15" customHeight="1"/>
  <cols>
    <col min="1" max="1" width="12" customWidth="1"/>
    <col min="2" max="2" width="40" customWidth="1"/>
    <col min="3" max="3" width="34" customWidth="1"/>
    <col min="4" max="4" width="30" customWidth="1"/>
    <col min="5" max="5" width="38" customWidth="1"/>
    <col min="6" max="6" width="60" customWidth="1"/>
    <col min="7" max="7" width="53" customWidth="1"/>
    <col min="8" max="8" width="29" customWidth="1"/>
    <col min="9" max="9" width="37" customWidth="1"/>
    <col min="10" max="26" width="8.7109375" customWidth="1"/>
  </cols>
  <sheetData>
    <row r="1" ht="31.5" customHeight="1" spans="1:9">
      <c r="A1" s="1" t="s">
        <v>410</v>
      </c>
      <c r="B1" s="2"/>
      <c r="C1" s="2"/>
      <c r="D1" s="2"/>
      <c r="E1" s="2"/>
      <c r="F1" s="2"/>
      <c r="G1" s="2"/>
      <c r="H1" s="2"/>
      <c r="I1" s="2"/>
    </row>
    <row r="2" ht="27.75" customHeight="1" spans="1:9">
      <c r="A2" s="3" t="s">
        <v>411</v>
      </c>
      <c r="B2" s="3" t="s">
        <v>412</v>
      </c>
      <c r="C2" s="3" t="s">
        <v>413</v>
      </c>
      <c r="D2" s="3" t="s">
        <v>414</v>
      </c>
      <c r="E2" s="3" t="s">
        <v>415</v>
      </c>
      <c r="F2" s="3" t="s">
        <v>416</v>
      </c>
      <c r="G2" s="3" t="s">
        <v>417</v>
      </c>
      <c r="H2" s="3" t="s">
        <v>418</v>
      </c>
      <c r="I2" s="3" t="s">
        <v>419</v>
      </c>
    </row>
    <row r="3" ht="31.5" customHeight="1" spans="1:9">
      <c r="A3" s="4" t="s">
        <v>420</v>
      </c>
      <c r="B3" s="5" t="s">
        <v>421</v>
      </c>
      <c r="C3" s="5" t="s">
        <v>422</v>
      </c>
      <c r="D3" s="5" t="s">
        <v>423</v>
      </c>
      <c r="E3" s="5" t="s">
        <v>424</v>
      </c>
      <c r="F3" s="5" t="s">
        <v>425</v>
      </c>
      <c r="G3" s="5" t="s">
        <v>426</v>
      </c>
      <c r="H3" s="6" t="s">
        <v>427</v>
      </c>
      <c r="I3" s="5" t="s">
        <v>428</v>
      </c>
    </row>
    <row r="4" ht="31.5" customHeight="1" spans="1:9">
      <c r="A4" s="4" t="s">
        <v>429</v>
      </c>
      <c r="B4" s="5" t="s">
        <v>430</v>
      </c>
      <c r="C4" s="5" t="s">
        <v>431</v>
      </c>
      <c r="D4" s="5" t="s">
        <v>432</v>
      </c>
      <c r="E4" s="5" t="s">
        <v>433</v>
      </c>
      <c r="F4" s="5" t="s">
        <v>434</v>
      </c>
      <c r="G4" s="5" t="s">
        <v>435</v>
      </c>
      <c r="H4" s="6" t="s">
        <v>436</v>
      </c>
      <c r="I4" s="5" t="s">
        <v>437</v>
      </c>
    </row>
    <row r="5" ht="31.5" customHeight="1" spans="1:9">
      <c r="A5" s="4" t="s">
        <v>438</v>
      </c>
      <c r="B5" s="5" t="s">
        <v>439</v>
      </c>
      <c r="C5" s="5" t="s">
        <v>440</v>
      </c>
      <c r="D5" s="5" t="s">
        <v>441</v>
      </c>
      <c r="E5" s="5" t="s">
        <v>442</v>
      </c>
      <c r="F5" s="5" t="s">
        <v>443</v>
      </c>
      <c r="G5" s="5" t="s">
        <v>444</v>
      </c>
      <c r="H5" s="6" t="s">
        <v>445</v>
      </c>
      <c r="I5" s="5" t="s">
        <v>446</v>
      </c>
    </row>
    <row r="6" ht="31.5" customHeight="1" spans="1:9">
      <c r="A6" s="4" t="s">
        <v>447</v>
      </c>
      <c r="B6" s="5" t="s">
        <v>448</v>
      </c>
      <c r="C6" s="5" t="s">
        <v>449</v>
      </c>
      <c r="D6" s="5" t="s">
        <v>450</v>
      </c>
      <c r="E6" s="5" t="s">
        <v>451</v>
      </c>
      <c r="F6" s="5" t="s">
        <v>452</v>
      </c>
      <c r="G6" s="5" t="s">
        <v>453</v>
      </c>
      <c r="H6" s="6" t="s">
        <v>454</v>
      </c>
      <c r="I6" s="5" t="s">
        <v>455</v>
      </c>
    </row>
    <row r="7" ht="31.5" customHeight="1" spans="1:9">
      <c r="A7" s="4" t="s">
        <v>456</v>
      </c>
      <c r="B7" s="5" t="s">
        <v>457</v>
      </c>
      <c r="C7" s="5" t="s">
        <v>458</v>
      </c>
      <c r="D7" s="5" t="s">
        <v>459</v>
      </c>
      <c r="E7" s="5" t="s">
        <v>460</v>
      </c>
      <c r="F7" s="5" t="s">
        <v>461</v>
      </c>
      <c r="G7" s="5" t="s">
        <v>462</v>
      </c>
      <c r="H7" s="6" t="s">
        <v>454</v>
      </c>
      <c r="I7" s="5" t="s">
        <v>463</v>
      </c>
    </row>
    <row r="8" ht="31.5" customHeight="1" spans="1:9">
      <c r="A8" s="4" t="s">
        <v>464</v>
      </c>
      <c r="B8" s="5" t="s">
        <v>465</v>
      </c>
      <c r="C8" s="5" t="s">
        <v>466</v>
      </c>
      <c r="D8" s="5" t="s">
        <v>467</v>
      </c>
      <c r="E8" s="5" t="s">
        <v>468</v>
      </c>
      <c r="F8" s="5" t="s">
        <v>469</v>
      </c>
      <c r="G8" s="5" t="s">
        <v>470</v>
      </c>
      <c r="H8" s="6" t="s">
        <v>471</v>
      </c>
      <c r="I8" s="5" t="s">
        <v>472</v>
      </c>
    </row>
    <row r="9" ht="31.5" customHeight="1" spans="1:9">
      <c r="A9" s="4" t="s">
        <v>473</v>
      </c>
      <c r="B9" s="5" t="s">
        <v>474</v>
      </c>
      <c r="C9" s="5" t="s">
        <v>475</v>
      </c>
      <c r="D9" s="5" t="s">
        <v>476</v>
      </c>
      <c r="E9" s="5" t="s">
        <v>477</v>
      </c>
      <c r="F9" s="5" t="s">
        <v>478</v>
      </c>
      <c r="G9" s="5" t="s">
        <v>479</v>
      </c>
      <c r="H9" s="6" t="s">
        <v>454</v>
      </c>
      <c r="I9" s="5" t="s">
        <v>480</v>
      </c>
    </row>
    <row r="10" ht="31.5" customHeight="1" spans="1:9">
      <c r="A10" s="4" t="s">
        <v>481</v>
      </c>
      <c r="B10" s="5" t="s">
        <v>482</v>
      </c>
      <c r="C10" s="5" t="s">
        <v>483</v>
      </c>
      <c r="D10" s="5" t="s">
        <v>484</v>
      </c>
      <c r="E10" s="5" t="s">
        <v>485</v>
      </c>
      <c r="F10" s="5" t="s">
        <v>486</v>
      </c>
      <c r="G10" s="5" t="s">
        <v>487</v>
      </c>
      <c r="H10" s="6" t="s">
        <v>427</v>
      </c>
      <c r="I10" s="5" t="s">
        <v>488</v>
      </c>
    </row>
    <row r="11" ht="31.5" customHeight="1" spans="1:9">
      <c r="A11" s="4" t="s">
        <v>489</v>
      </c>
      <c r="B11" s="5" t="s">
        <v>490</v>
      </c>
      <c r="C11" s="5" t="s">
        <v>491</v>
      </c>
      <c r="D11" s="5" t="s">
        <v>492</v>
      </c>
      <c r="E11" s="5" t="s">
        <v>493</v>
      </c>
      <c r="F11" s="5" t="s">
        <v>494</v>
      </c>
      <c r="G11" s="5" t="s">
        <v>495</v>
      </c>
      <c r="H11" s="6" t="s">
        <v>427</v>
      </c>
      <c r="I11" s="5" t="s">
        <v>496</v>
      </c>
    </row>
    <row r="12" ht="31.5" customHeight="1" spans="1:9">
      <c r="A12" s="4" t="s">
        <v>497</v>
      </c>
      <c r="B12" s="5" t="s">
        <v>498</v>
      </c>
      <c r="C12" s="5" t="s">
        <v>499</v>
      </c>
      <c r="D12" s="5" t="s">
        <v>441</v>
      </c>
      <c r="E12" s="5" t="s">
        <v>500</v>
      </c>
      <c r="F12" s="5" t="s">
        <v>501</v>
      </c>
      <c r="G12" s="5" t="s">
        <v>502</v>
      </c>
      <c r="H12" s="6" t="s">
        <v>427</v>
      </c>
      <c r="I12" s="5" t="s">
        <v>503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Trang tính1</vt:lpstr>
      <vt:lpstr>1_TONG_QUAN_DASHBOARD</vt:lpstr>
      <vt:lpstr>2_CHAM_DIEM_40_NGACH</vt:lpstr>
      <vt:lpstr>3_KHAO_SAT_10_NGACH_DOI_THU</vt:lpstr>
      <vt:lpstr>4_BANG_CHUNG_THUC_TE</vt:lpstr>
      <vt:lpstr>5_MA_TRAN_4_KICH_BAN</vt:lpstr>
      <vt:lpstr>6_KICH_BAN_PHONG_VAN_KH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BÙI UYỂN THU</cp:lastModifiedBy>
  <dcterms:created xsi:type="dcterms:W3CDTF">2026-10-24T11:12:00Z</dcterms:created>
  <dcterms:modified xsi:type="dcterms:W3CDTF">2026-10-24T11:13:01Z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4A765D5B465211394D30DC6A728DC561_43</vt:lpwstr>
  </property>
  <property fmtid="{D5CDD505-2E9C-101B-9397-08002B2CF9AE}" pid="3" name="KSOProductBuildVer">
    <vt:lpwstr>1033-12.1.29182.29182</vt:lpwstr>
  </property>
  <property fmtid="{D5CDD505-2E9C-101B-9397-08002B2CF9AE}" pid="4" name="CalculationRule">
    <vt:i4>0</vt:i4>
  </property>
</Properties>
</file>